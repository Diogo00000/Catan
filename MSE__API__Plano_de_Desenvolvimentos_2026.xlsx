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cpcorp.sharepoint.com/sites/BancaDiretaEmpresas/Shared Documents/General/010 Organização Interna/Check Point Eng MJC/"/>
    </mc:Choice>
  </mc:AlternateContent>
  <xr:revisionPtr revIDLastSave="3186" documentId="8_{337A7672-B8EB-4AD7-B55D-20A59FB08550}" xr6:coauthVersionLast="47" xr6:coauthVersionMax="47" xr10:uidLastSave="{54259ACA-3A84-4D7B-A529-6C00A7B1ABC2}"/>
  <bookViews>
    <workbookView xWindow="-110" yWindow="-110" windowWidth="19420" windowHeight="11500" tabRatio="961" activeTab="5" xr2:uid="{998AA606-5C3E-4B41-B085-906C5084A417}"/>
  </bookViews>
  <sheets>
    <sheet name="Registo Ultimas atualizações" sheetId="7" r:id="rId1"/>
    <sheet name="Calendário IT  " sheetId="6" state="hidden" r:id="rId2"/>
    <sheet name="Digital Breakfast Takeaways" sheetId="9" r:id="rId3"/>
    <sheet name="Calendário IT" sheetId="8" state="hidden" r:id="rId4"/>
    <sheet name="PRIORIDADES DBDE" sheetId="11" r:id="rId5"/>
    <sheet name="Overview Geral" sheetId="10" r:id="rId6"/>
    <sheet name="Em Curso" sheetId="1" state="hidden" r:id="rId7"/>
    <sheet name="Planeados" sheetId="2" state="hidden" r:id="rId8"/>
    <sheet name="Standby" sheetId="3" state="hidden" r:id="rId9"/>
    <sheet name="API integration Lab" sheetId="4" state="hidden" r:id="rId10"/>
    <sheet name="Falta Migrar para o MSE" sheetId="5" r:id="rId11"/>
    <sheet name="Calendário IT (Semanal)" sheetId="12" r:id="rId20"/>
  </sheets>
  <definedNames>
    <definedName name="_xlnm._FilterDatabase" localSheetId="9" hidden="1">'API integration Lab'!$A$4:$G$4</definedName>
    <definedName name="_xlnm._FilterDatabase" localSheetId="3" hidden="1">'Calendário IT'!$A$2:$M$31</definedName>
    <definedName name="_xlnm._FilterDatabase" localSheetId="2" hidden="1">'Digital Breakfast Takeaways'!$B$4:$N$27</definedName>
    <definedName name="_xlnm._FilterDatabase" localSheetId="6" hidden="1">'Em Curso'!$A$4:$G$25</definedName>
    <definedName name="_xlnm._FilterDatabase" localSheetId="10" hidden="1">'Falta Migrar para o MSE'!$A$4:$H$4</definedName>
    <definedName name="_xlnm._FilterDatabase" localSheetId="5" hidden="1">'Overview Geral'!$A$3:$I$48</definedName>
    <definedName name="_xlnm._FilterDatabase" localSheetId="7" hidden="1">Planeados!$A$5:$G$16</definedName>
    <definedName name="_xlnm._FilterDatabase" localSheetId="4" hidden="1">'PRIORIDADES DBDE'!$B$3:$E$65</definedName>
    <definedName name="_xlnm._FilterDatabase" localSheetId="8" hidden="1">Standby!$A$4:$G$14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0" l="1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" i="10"/>
</calcChain>
</file>

<file path=xl/sharedStrings.xml><?xml version="1.0" encoding="utf-8"?>
<sst xmlns="http://schemas.openxmlformats.org/spreadsheetml/2006/main" count="1181" uniqueCount="517">
  <si>
    <t xml:space="preserve">DBDE </t>
  </si>
  <si>
    <t xml:space="preserve">Por quem e quando foi feita a última atualização dos projetos no ficheiro </t>
  </si>
  <si>
    <t>ÚLTIMA ATUALIZAÇÃO</t>
  </si>
  <si>
    <t>DBDE - LAB</t>
  </si>
  <si>
    <t>Quando</t>
  </si>
  <si>
    <t>Por Quem</t>
  </si>
  <si>
    <r>
      <t>Total ou Parcial</t>
    </r>
    <r>
      <rPr>
        <sz val="8"/>
        <color rgb="FF002060"/>
        <rFont val="Montserrat"/>
      </rPr>
      <t>(1)</t>
    </r>
  </si>
  <si>
    <t>Comentários</t>
  </si>
  <si>
    <t xml:space="preserve">API integration </t>
  </si>
  <si>
    <t>Best site &amp; App</t>
  </si>
  <si>
    <t>Pedro M</t>
  </si>
  <si>
    <t>Atualização Calendário IT</t>
  </si>
  <si>
    <t>Core</t>
  </si>
  <si>
    <t>Frederico CA</t>
  </si>
  <si>
    <t>Total</t>
  </si>
  <si>
    <t>introdução de novo projeto "C2C - acesso direto"</t>
  </si>
  <si>
    <t>Payments &amp; e-commerce</t>
  </si>
  <si>
    <t>SME financing</t>
  </si>
  <si>
    <r>
      <rPr>
        <b/>
        <sz val="10"/>
        <color rgb="FF002060"/>
        <rFont val="Montserrat"/>
      </rPr>
      <t>Total ou Parcial (1)</t>
    </r>
    <r>
      <rPr>
        <sz val="10"/>
        <color rgb="FF002060"/>
        <rFont val="Montserrat"/>
      </rPr>
      <t xml:space="preserve">: preencha de acordo com: 
</t>
    </r>
    <r>
      <rPr>
        <b/>
        <sz val="10"/>
        <color rgb="FF002060"/>
        <rFont val="Montserrat"/>
      </rPr>
      <t>Total:</t>
    </r>
    <r>
      <rPr>
        <sz val="10"/>
        <color rgb="FF002060"/>
        <rFont val="Montserrat"/>
      </rPr>
      <t xml:space="preserve"> efetuada revisão/atualização em todos os projetos do LAB
</t>
    </r>
    <r>
      <rPr>
        <b/>
        <sz val="10"/>
        <color rgb="FF002060"/>
        <rFont val="Montserrat"/>
      </rPr>
      <t>Parcial:</t>
    </r>
    <r>
      <rPr>
        <sz val="10"/>
        <color rgb="FF002060"/>
        <rFont val="Montserrat"/>
      </rPr>
      <t xml:space="preserve"> efetuada revisãoi parcial do projetos do LAB</t>
    </r>
  </si>
  <si>
    <t>Responsável</t>
  </si>
  <si>
    <t>Atividade</t>
  </si>
  <si>
    <t>User Stories Escritas</t>
  </si>
  <si>
    <t>Data Target Entrega ao IT</t>
  </si>
  <si>
    <t>Data Target Qualidade</t>
  </si>
  <si>
    <t>Data Target Produção</t>
  </si>
  <si>
    <t xml:space="preserve">New UX/UI Supply Chain Financing for Suppliers </t>
  </si>
  <si>
    <t>API enhanced entity registry for non-Clients (COMPprofile) (1)</t>
  </si>
  <si>
    <t>New website onboarding for Suppliers (non-Clients) (1)</t>
  </si>
  <si>
    <t>API integration on ERP – Confirming &amp; Factoring files</t>
  </si>
  <si>
    <t>Factoring - Digital notifications</t>
  </si>
  <si>
    <t>New UI/UX Credit Details</t>
  </si>
  <si>
    <t>Crédito Digital Tesouraria (Phase 2)</t>
  </si>
  <si>
    <t>100% Digital Account Closure</t>
  </si>
  <si>
    <t>Company Data Maintenance Journey – Phase 3 – Email e WFMC</t>
  </si>
  <si>
    <t xml:space="preserve">Company Data Maintenance journey – Phase 4 – Email e WFMC </t>
  </si>
  <si>
    <t>Debit Card Request</t>
  </si>
  <si>
    <t>CMBO – Content Management BackOffice</t>
  </si>
  <si>
    <t>Alertas</t>
  </si>
  <si>
    <t>Open Banking</t>
  </si>
  <si>
    <t>Configurações do Utilizador</t>
  </si>
  <si>
    <t>Agendamentos</t>
  </si>
  <si>
    <t>Cheques</t>
  </si>
  <si>
    <t>Servicing</t>
  </si>
  <si>
    <t>Via Verde</t>
  </si>
  <si>
    <t>recenseamento não Clientes</t>
  </si>
  <si>
    <t>Encerramento e conta</t>
  </si>
  <si>
    <t>Projeto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</si>
  <si>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</si>
  <si>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</si>
  <si>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</si>
  <si>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</si>
  <si>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</si>
  <si>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</si>
  <si>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</si>
  <si>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</si>
  <si>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</si>
  <si>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</si>
  <si>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 xml:space="preserve">Novembro </t>
  </si>
  <si>
    <t>Dezembro</t>
  </si>
  <si>
    <t>Confirming</t>
  </si>
  <si>
    <t>Certificação</t>
  </si>
  <si>
    <t>Produção</t>
  </si>
  <si>
    <t>Consulta de créditos</t>
  </si>
  <si>
    <t>Em Research</t>
  </si>
  <si>
    <t>CDT - Valor Alternativo</t>
  </si>
  <si>
    <t>Em Escrita</t>
  </si>
  <si>
    <t>Recenseamento não clientes</t>
  </si>
  <si>
    <t>Desenvolvimento IT</t>
  </si>
  <si>
    <t>User Stories</t>
  </si>
  <si>
    <t>Transformação dos IML´s para 5512</t>
  </si>
  <si>
    <t>Modo de envio Ime|Urgente</t>
  </si>
  <si>
    <t>Cliente Aplauso</t>
  </si>
  <si>
    <t>Encerramento de conta digital</t>
  </si>
  <si>
    <t>Pedido de cartão de crédito (email)</t>
  </si>
  <si>
    <t>Cartões - A NOSSA OFERTA</t>
  </si>
  <si>
    <t>SAF-T - Upload de ficheiro</t>
  </si>
  <si>
    <t>Projeto KAFKA</t>
  </si>
  <si>
    <t>Crédito Digital Avançar (Wave 1)</t>
  </si>
  <si>
    <t>Requisição de Cheques</t>
  </si>
  <si>
    <t>B2B Millennium API</t>
  </si>
  <si>
    <t>Pedido de cartão de débito (E2E)</t>
  </si>
  <si>
    <t>PayByMillennium</t>
  </si>
  <si>
    <t>Cartões Servicing</t>
  </si>
  <si>
    <t>Criação de Utilizadores (Operadores)</t>
  </si>
  <si>
    <t>Certificado Digital</t>
  </si>
  <si>
    <t>M Certificados</t>
  </si>
  <si>
    <t>Retornos de Ficheiros</t>
  </si>
  <si>
    <t>M Autenticator</t>
  </si>
  <si>
    <t>Registo e Recenseamento</t>
  </si>
  <si>
    <t>Navegar através de filtros</t>
  </si>
  <si>
    <t>Lab</t>
  </si>
  <si>
    <t>Numero</t>
  </si>
  <si>
    <t>Descrição</t>
  </si>
  <si>
    <t>Estado</t>
  </si>
  <si>
    <t>QUA</t>
  </si>
  <si>
    <t>PROD</t>
  </si>
  <si>
    <t>Observações</t>
  </si>
  <si>
    <t>Comentários Internos</t>
  </si>
  <si>
    <t>Credit</t>
  </si>
  <si>
    <t>Nova jornada digital de antecipação de Avisos de Pagamento por Fornecedores (Clientes e Não Clientes)</t>
  </si>
  <si>
    <t>Certificação complexa pode impactar na data de passagem a produção e abertura a clientes (piloto)</t>
  </si>
  <si>
    <t xml:space="preserve">Registo de empresas nacionais no CIS e respetivos  comprovativos (1º use case Fornecedores não Clientes) </t>
  </si>
  <si>
    <t>Falta certificar coerência de dados da API. 
Confrontar dados InformaDB com CRC ~1 semana a tempo integral</t>
  </si>
  <si>
    <t>FCA 11-03-2026: a acompanhar novamente a certificação
FCA 27-01-2026: retirar do Back Log. Core LAB da apoio como Consultor</t>
  </si>
  <si>
    <t xml:space="preserve">Registo e recenseamento de Fornecedores nacionais não Clientes no MSE – Confirming </t>
  </si>
  <si>
    <t xml:space="preserve">Dez 25 </t>
  </si>
  <si>
    <t xml:space="preserve">Base (~75%) será reutilizado no revamp do novo Registo e Recenseamento ao MSE </t>
  </si>
  <si>
    <t>FCA 11-03-2026: Alterei PRD para Mar 26
FCA 27-01-2026:  inicio de certificação. Mantem ida a PRD em FEV2026</t>
  </si>
  <si>
    <t>Ficheiros de retorno com informação de Factoring e Confirming (eventos kafka)</t>
  </si>
  <si>
    <t>Abr 26</t>
  </si>
  <si>
    <t>Novo serviço disponível para todos os canais</t>
  </si>
  <si>
    <t>Nova área de consulta de produtos de crédito</t>
  </si>
  <si>
    <t xml:space="preserve">Certificação complexa com eventual impactar na abertura a clientes </t>
  </si>
  <si>
    <t>Integração Valor Alternativo (ADS II) - Capacidade de oferta de conta proposta imediata de montante inferior</t>
  </si>
  <si>
    <t>JML020226 - Desenvolvimento em curso</t>
  </si>
  <si>
    <t>Payments</t>
  </si>
  <si>
    <t>Jornada de aquisição de cartão de débito (E2E)</t>
  </si>
  <si>
    <r>
      <t xml:space="preserve">Atraso por realocação de recursos para Transferências imediatas e </t>
    </r>
    <r>
      <rPr>
        <sz val="9"/>
        <color rgb="FFFF0000"/>
        <rFont val="Montserrat"/>
      </rPr>
      <t>moratorias</t>
    </r>
  </si>
  <si>
    <t>Best Site</t>
  </si>
  <si>
    <t xml:space="preserve">Migração de conteúdos de Sharepoint c/ descontinuação da Plataforma SP </t>
  </si>
  <si>
    <t>EN – Produção: Jun.26 ; PT - Producao Set 26 ; ES Producao Dez 26</t>
  </si>
  <si>
    <t>COMPProfile : Back office + Onboarding and maintenance</t>
  </si>
  <si>
    <t>Com back office para tratamento e classificação de todos os dados recebidos das várias fontes. Gera pacotes de dados standardizados e documentos prontos a serem consumidos internamente.  Pedido cria entidades em Central com arquivo de documentos</t>
  </si>
  <si>
    <t>Fev 26</t>
  </si>
  <si>
    <t> </t>
  </si>
  <si>
    <t>FCA 11-03-2026: está em PRD desde FEV</t>
  </si>
  <si>
    <t>COMPProfile : Implementação “Notify”</t>
  </si>
  <si>
    <t>Promove ações e tarefas internas após notificação de alteração de dados criticos das Empresas</t>
  </si>
  <si>
    <t>TBD</t>
  </si>
  <si>
    <t>Em avaliação integração com outras plataformas de gestão de dados das Empresas existente no do Banco</t>
  </si>
  <si>
    <t>Pedido de encerramento de conta no site de Empresas</t>
  </si>
  <si>
    <t>Dez 25</t>
  </si>
  <si>
    <t>Requisito legal – BdP</t>
  </si>
  <si>
    <t>FCA 09-03-2026: vai a QA a 12-03
FCA 30-01-2026: Holding, DEV suspendido por priorização de atividades
FCA 27-01-2026: Avaliar com COFF se pode aguardar
FCA 20-01-2025: está em standby</t>
  </si>
  <si>
    <t>Company Data Maintenance Journey – Phase 3 – Email</t>
  </si>
  <si>
    <t>Jornada para Empresas com dados expirados Soc Quotas e Unipessoais  Sócios pessoas singulares 1 assinatura apenas 1 gerente</t>
  </si>
  <si>
    <t>FCA 20-01-2025: Subiu a PRD a 22-12-25. Sem WFMC/Envio por e-mail ao COM</t>
  </si>
  <si>
    <t xml:space="preserve">Company Data Maintenance journey – Phase 4 – WFMC </t>
  </si>
  <si>
    <r>
      <t xml:space="preserve">Melhorias e simplificação do  scope Fase 3, inclui  para </t>
    </r>
    <r>
      <rPr>
        <b/>
        <sz val="9"/>
        <color rgb="FF000000"/>
        <rFont val="Montserrat"/>
      </rPr>
      <t>1 ou mais Gerentes</t>
    </r>
    <r>
      <rPr>
        <sz val="9"/>
        <color rgb="FF000000"/>
        <rFont val="Montserrat"/>
      </rPr>
      <t xml:space="preserve">, </t>
    </r>
    <r>
      <rPr>
        <b/>
        <sz val="9"/>
        <color rgb="FF000000"/>
        <rFont val="Montserrat"/>
      </rPr>
      <t>sem filtrar situação dos dados pessoais dos gerentes</t>
    </r>
    <r>
      <rPr>
        <sz val="9"/>
        <color rgb="FF000000"/>
        <rFont val="Montserrat"/>
      </rPr>
      <t xml:space="preserve"> que intervenientes e </t>
    </r>
    <r>
      <rPr>
        <b/>
        <sz val="9"/>
        <color rgb="FF000000"/>
        <rFont val="Montserrat"/>
      </rPr>
      <t>com entrega de processo em WFMC</t>
    </r>
  </si>
  <si>
    <t>Cerca de 30% dos casos
Assegurar processo entregue apenas no WFMC – certificação COM c/ Apoio DBDE
Em Abr 26 - Após ter WFMC abrir solução a casos em que existam Gerentes intervneientes com dados expirados no Banco para atingir +45%</t>
  </si>
  <si>
    <t>Customer CARE | C2C - acesso direto com chamada em contexto</t>
  </si>
  <si>
    <t>Chamada á entregue na PAM/iPAC aos Operadores da linha de Apoio com Dados do Cliente e da Empresa em Contexto. Permite assegurar ao Operador que o Cliente que pede a chamada foi autenticado e identificado no login ao MSE.</t>
  </si>
  <si>
    <t>Disponível após login no site para todos os utilizadores</t>
  </si>
  <si>
    <t>FCA 09-03-2026: Em QA a 12-03
FCA 18-02-2026: Definido com Fernando Cavalheiro este MVP para acompanhar a atividade SE016484 da DBD com o desnevolvimento de criação do novo serviço C2C e entrega chamada na PAM</t>
  </si>
  <si>
    <t>Crédito Avançar (50k)</t>
  </si>
  <si>
    <r>
      <t xml:space="preserve">Venda remota </t>
    </r>
    <r>
      <rPr>
        <sz val="9"/>
        <color rgb="FF000000"/>
        <rFont val="Montserrat"/>
      </rPr>
      <t xml:space="preserve">com </t>
    </r>
    <r>
      <rPr>
        <b/>
        <sz val="9"/>
        <color rgb="FF000000"/>
        <rFont val="Montserrat"/>
      </rPr>
      <t xml:space="preserve">envio de documentos pelo iPac </t>
    </r>
    <r>
      <rPr>
        <sz val="9"/>
        <color rgb="FF000000"/>
        <rFont val="Montserrat"/>
      </rPr>
      <t xml:space="preserve">para assinatura digital em operações pendentes no MSE </t>
    </r>
  </si>
  <si>
    <t>Depende da retirada do “Acordo de Preenchimento de Livrança” do contrato de crédito. Atenção!  GT Livrança Digital</t>
  </si>
  <si>
    <t>Smart Moove, TPA, Cartões de Débito, Depositos Prazo e Crédito</t>
  </si>
  <si>
    <t>Pronto para arrancar no go live</t>
  </si>
  <si>
    <t>FCA 09-03-2026: EM PRD
FCA 13-02-2026: incluidos os DPs
FCA 27-01-2026: Em certificação</t>
  </si>
  <si>
    <t>Seguros (BNL 2.0)</t>
  </si>
  <si>
    <t>FCA 09-03-2026: EM PRD
FCA 30-01-2026: go live com testes ao msm tempo dos produtos bancários. Certificação concluida até Mar 26
FCA 27-01-2026: Aguadar entrega serviços da AGEAS</t>
  </si>
  <si>
    <t>M-Authenticator – Digital Certificate Alternative</t>
  </si>
  <si>
    <t>APP de autenticação forte</t>
  </si>
  <si>
    <t>Em fase de levantamento de requisitos</t>
  </si>
  <si>
    <t>New website onboarding for All Clients</t>
  </si>
  <si>
    <r>
      <t xml:space="preserve">Novo processo de </t>
    </r>
    <r>
      <rPr>
        <b/>
        <sz val="9"/>
        <rFont val="Montserrat"/>
      </rPr>
      <t xml:space="preserve">registo inicial da Empresa </t>
    </r>
    <r>
      <rPr>
        <sz val="9"/>
        <rFont val="Montserrat"/>
      </rPr>
      <t xml:space="preserve">e </t>
    </r>
    <r>
      <rPr>
        <b/>
        <sz val="9"/>
        <rFont val="Montserrat"/>
      </rPr>
      <t>recenseamento de utilizadores</t>
    </r>
    <r>
      <rPr>
        <sz val="9"/>
        <rFont val="Montserrat"/>
      </rPr>
      <t xml:space="preserve"> no site de Empresas</t>
    </r>
  </si>
  <si>
    <r>
      <t xml:space="preserve">Revamp do Registo e Recenseamento para Clientes e Não Clientes - reaproveita processo fornecedores Confirming. </t>
    </r>
    <r>
      <rPr>
        <b/>
        <sz val="9"/>
        <color rgb="FF000000"/>
        <rFont val="Montserrat"/>
      </rPr>
      <t>Em fase de levantamento de requisitos</t>
    </r>
  </si>
  <si>
    <t>New CRM &amp; Banners Management   “PMDE”</t>
  </si>
  <si>
    <t>Plataforma de gestão de campanhas / banners no MSE</t>
  </si>
  <si>
    <t>Permite atuação direta (DBDE) e Campanhas CRM. Plataforma reutilizável para outros canais</t>
  </si>
  <si>
    <t>Customer CARE | Revamp</t>
  </si>
  <si>
    <t>Apoio ao Cliente com FAQ´s geradas com o GenAI antes do Contacto com o Banco</t>
  </si>
  <si>
    <t>Set 26</t>
  </si>
  <si>
    <t>WIP – Projeto em Azure: entrega em Dez</t>
  </si>
  <si>
    <t>FCA 13-02-2026: Calendarizado com AFA QA em Jun e PRD em Set
FCA 27-01-2026: Quick WIN caiu. Arranca com C2C. Em especificação Azure e aguarda serviço C2C pela DBD
FCA 20-01-2026: requer prioirzação no Labb e no IT</t>
  </si>
  <si>
    <t>Digital Middle Office (MVP)</t>
  </si>
  <si>
    <t>Scope em conclusão: DTO/DBDE</t>
  </si>
  <si>
    <t>FCA 20-01-2026: WIP com DTO</t>
  </si>
  <si>
    <t>Digital Middle Office (MVP 2)</t>
  </si>
  <si>
    <t>Novas funcionalidades</t>
  </si>
  <si>
    <t>Por definir</t>
  </si>
  <si>
    <t>New Pay-By Millennium</t>
  </si>
  <si>
    <t>Serviço de emissão de pedidos de pagamento</t>
  </si>
  <si>
    <r>
      <t xml:space="preserve">Versão simplificada – apenas com Entidade Ref MB para testar conceito e </t>
    </r>
    <r>
      <rPr>
        <i/>
        <sz val="9"/>
        <color rgb="FF000000"/>
        <rFont val="Montserrat"/>
      </rPr>
      <t>time-to-market. A incluir no Contrato Único de Acquiring Digital</t>
    </r>
  </si>
  <si>
    <t>Full Cards Servicing</t>
  </si>
  <si>
    <t>Gestão da carteira de cartões para as Empresa: Consulta de saldos, movimentos e extratos,  carregamento (pré-pagos), cancelamento, e substituição de cartão</t>
  </si>
  <si>
    <t>A ausência de serviço pós-venda nos cartões tem sido referida frequentemente por Clientes e Sucursais (ex. M Refeição)</t>
  </si>
  <si>
    <t>Processo de notificação digital de devedores de factoring (clientes)</t>
  </si>
  <si>
    <r>
      <t>Falta ainda avaliação técnica das Equipas da PUCC e XFAC.</t>
    </r>
    <r>
      <rPr>
        <b/>
        <sz val="9"/>
        <color rgb="FF000000"/>
        <rFont val="Montserrat"/>
      </rPr>
      <t xml:space="preserve">
JML020226 - US's e design concluidos</t>
    </r>
  </si>
  <si>
    <t>Simulador incorporado no MSE com conexão direta ao SWOC através do Credit Experience</t>
  </si>
  <si>
    <t>Desenho da jornada digital até à entrega no Credit Experience e SWOC. Data condicionada pelas prioridades da equipa do Cred. Experience</t>
  </si>
  <si>
    <t>New UX/UI Supply Chain Financing for Buyers</t>
  </si>
  <si>
    <t>Reestruturação do Confirming para Compradores com mais e novas funcionalidades</t>
  </si>
  <si>
    <t>Por iniciar diagnostico e alocação de recursos</t>
  </si>
  <si>
    <t>Trade Finance and Guarantees</t>
  </si>
  <si>
    <t>Reestruturação da area com mais e melhores funcionalidades com destaque  para a revisão do processo documental  </t>
  </si>
  <si>
    <t>Crédito Digital Avançar (Wave 2)</t>
  </si>
  <si>
    <t>Integração do modelo de decisão automática até 15K/25k</t>
  </si>
  <si>
    <t>A 2ª fase arranca após a entrega da 1ª. Estimamos 2/3 meses para desenvolvimento e passagem a prod.. Pressupõe alteração da peça contratual</t>
  </si>
  <si>
    <t>Crédito Digital Avançar (Wave 3)</t>
  </si>
  <si>
    <t xml:space="preserve">100% digital, mas permitindo a omnicanalidade e status das operações para consulta no MSE  </t>
  </si>
  <si>
    <t>Fase final que prevê uma jornada digital E2E com exceção da assinatura da livrança</t>
  </si>
  <si>
    <t>Factoring Revamp</t>
  </si>
  <si>
    <t xml:space="preserve">Reestruturação da jornada de factoring com melhorias nos serviços, com destaque para a área de devedores </t>
  </si>
  <si>
    <t>Por iniciar diagnóstico e alocação de recursos</t>
  </si>
  <si>
    <t>Leasing simulação e contratação</t>
  </si>
  <si>
    <t>Jornada E2E Leasing automóvel, imobiliário e mobiliário</t>
  </si>
  <si>
    <t>Utilizadores - Gestão e novos recenseamentos</t>
  </si>
  <si>
    <t>Revamp e upgerade da gestão de utilizadores após login no MSE</t>
  </si>
  <si>
    <t xml:space="preserve">FCA 27-01-2026: Shapping e Conceito por fechar com equipa do Site. Alocar Nuno Belo após </t>
  </si>
  <si>
    <t>Registo completo no site -Face lift / upgrade</t>
  </si>
  <si>
    <t>Face lift da jornada de registo completo no Site de Empresas com inclusão de melhorias nomeadamente utilização do COMPPROFILE para obtenção dos dados da Empesa</t>
  </si>
  <si>
    <t>Company Data Maintenance Journey – Phase 5</t>
  </si>
  <si>
    <t xml:space="preserve">Use case da Fase 4 + atualização de dados pessoais para todos os Gerentes intervenientes nas contas da Empresas </t>
  </si>
  <si>
    <t>Implica fluxo de atualização de dados pessoais dos Gerentes intervenientes nas contas (FIC P) ~60% coverage of uses cases</t>
  </si>
  <si>
    <t xml:space="preserve">FCA 20-01-2026: Retirqar do Back Log?? Faz sentido fase 5? Ou basta ter info/alarmistica a encaminhar Gerentes para atualização de dados na APP Particulares ou na Sucursal </t>
  </si>
  <si>
    <t>M-Certificados</t>
  </si>
  <si>
    <t>Avaliar interesse em modernizar aplicativo ou encontrar nova forma de criar Certificados Digitais</t>
  </si>
  <si>
    <t>Fern. Cavalheiro: Avaliação técnica
Jorge Rodrigues: Atualizar páginas públicas</t>
  </si>
  <si>
    <t>API</t>
  </si>
  <si>
    <t>B2B – Evoluir de SOAP para “REST”</t>
  </si>
  <si>
    <t>Atualmente, a utilização de APIs baseadas em SOAP representa uma barreira para a integração com parceiros como Milestone e Atlar, afetando clientes como Qima (Certis PT) e Ophelos (Intrum PT). A migração para APIs REST é essencial para aumentar a adoção e facilitar a interoperabilidade com sistemas modernos.</t>
  </si>
  <si>
    <t>User Story 921359: B2B | Alteração do Protocolo da Mensagem | Alteração da Mensagem de SOAP para REST</t>
  </si>
  <si>
    <t>B2B – ConfirmationCOPB na PSDC</t>
  </si>
  <si>
    <t>Permitir registar e monitorizar a utilização do serviço ConfirmationCOPB na PSDC, atualmente sem histórico por ser uma consulta e não uma transação.</t>
  </si>
  <si>
    <t>User Story 962042: B2B | Criação na PSDC | Criação de entrada do serviço ConfirmationCOPB</t>
  </si>
  <si>
    <t>B2B – Transferência Nacional | Aceitar o IBAN além do NIB</t>
  </si>
  <si>
    <t>Pretende-se que a ordem de transferência nacional aceite também o IBAN da conta a creditar, além do NIB atualmente usado.O campo XferInfo.DepAcctIdTo.AcctId deverá permitir IBAN como alternativa ao NIB.</t>
  </si>
  <si>
    <t>User Story 926458: B2B | Transferências | Passar a fazer transferências também por IBAN</t>
  </si>
  <si>
    <t>B2B – Open banking PISP</t>
  </si>
  <si>
    <t>Permitir a execução de operações através de outros Bancos, em linha com o que é feito atualmente no iziBizi.</t>
  </si>
  <si>
    <r>
      <t>User Story 956426</t>
    </r>
    <r>
      <rPr>
        <sz val="9"/>
        <color rgb="FF000000"/>
        <rFont val="Montserrat"/>
      </rPr>
      <t>: B2B | Criação de Serviços | PISP</t>
    </r>
  </si>
  <si>
    <t xml:space="preserve">B2B – Motivo Devolução TRFs </t>
  </si>
  <si>
    <t>Permitir a consulta do detalhe do motivo da devolução de uma transferência. Caso de uso: Solverde, que solicitou este serviço.</t>
  </si>
  <si>
    <t>User Story 966231: B2B | Transferências - Motivo devolução</t>
  </si>
  <si>
    <t>B2B/MultiBancário Eventos Kafka</t>
  </si>
  <si>
    <t>Serviço que irá permitir integração nos ERP’s das empresas com protocolos de confirming, as mensagens sobre o estado atual das faturas</t>
  </si>
  <si>
    <t>Mai 26</t>
  </si>
  <si>
    <t>iziBizi – Refresh Tokens</t>
  </si>
  <si>
    <t>No MSE, após alteração da password, o token do lado do iziBizi não é atualizado. Isto bloqueia diariamente o acesso para utilizadores com iziBizi ativo.</t>
  </si>
  <si>
    <t>User Story 973193: iziBizi | Melhorias | Refresh Tokens  </t>
  </si>
  <si>
    <t>M-Contabilidade – Refresh Tokens</t>
  </si>
  <si>
    <t>No MSE, após alteração da password, o token do lado do M Contabilidade não é atualizado. Isto bloqueia diariamente o acesso para utilizadores com M Contabilidade ativo.</t>
  </si>
  <si>
    <t xml:space="preserve">User Story 973284: M Contabilidade| Melhorias | Refresh Tokens </t>
  </si>
  <si>
    <t>DESENVOLVIMENTOS EM CURSO</t>
  </si>
  <si>
    <t>Mar 26</t>
  </si>
  <si>
    <t>Nov 25</t>
  </si>
  <si>
    <r>
      <rPr>
        <b/>
        <sz val="10"/>
        <color rgb="FF000000"/>
        <rFont val="Montserrat"/>
      </rPr>
      <t xml:space="preserve">FCA 27-01-2026: retirar do Back Log. Core LAB da apoio como Consultor
</t>
    </r>
    <r>
      <rPr>
        <sz val="10"/>
        <color rgb="FF000000"/>
        <rFont val="Montserrat"/>
      </rPr>
      <t xml:space="preserve">Falta certificar coerência de dados da API.  </t>
    </r>
    <r>
      <rPr>
        <b/>
        <sz val="10"/>
        <color rgb="FF000000"/>
        <rFont val="Montserrat"/>
      </rPr>
      <t xml:space="preserve">
</t>
    </r>
    <r>
      <rPr>
        <sz val="10"/>
        <color rgb="FF000000"/>
        <rFont val="Montserrat"/>
      </rPr>
      <t>Confrontar dados InformaDB com CRC ~1 semana a tempo integral</t>
    </r>
  </si>
  <si>
    <r>
      <rPr>
        <b/>
        <sz val="10"/>
        <color rgb="FF000000"/>
        <rFont val="Montserrat"/>
      </rPr>
      <t xml:space="preserve">FCA 27-01-2026:  inicio de certificação. Mantem ida a PRD em FEV2026
</t>
    </r>
    <r>
      <rPr>
        <sz val="10"/>
        <color rgb="FF000000"/>
        <rFont val="Montserrat"/>
      </rPr>
      <t xml:space="preserve">Base (~75%) será reutilizado no revamp do novo Registo e Recenseamento ao MSE </t>
    </r>
  </si>
  <si>
    <t>Dec 25</t>
  </si>
  <si>
    <r>
      <t xml:space="preserve">Atraso por realocação de recursos para Transferências imediatas e </t>
    </r>
    <r>
      <rPr>
        <sz val="10.5"/>
        <color rgb="FFFF0000"/>
        <rFont val="Montserrat"/>
      </rPr>
      <t>moratorias</t>
    </r>
  </si>
  <si>
    <t>Jun 26</t>
  </si>
  <si>
    <t>Jan 26</t>
  </si>
  <si>
    <t>Promove ações e tarefas após notificação de alteração de dados criticos das Empresas</t>
  </si>
  <si>
    <r>
      <rPr>
        <b/>
        <sz val="10"/>
        <color rgb="FF000000"/>
        <rFont val="Montserrat"/>
      </rPr>
      <t>FCA 09-03-2026: vai a QA a 12-03</t>
    </r>
    <r>
      <rPr>
        <sz val="10"/>
        <color rgb="FF000000"/>
        <rFont val="Montserrat"/>
      </rPr>
      <t xml:space="preserve">
FCA 30-01-2026: Holding, DEV suspendido por priorização de atividades
FCA 27-01-2026: Avaliar com COFF se pode aguardar</t>
    </r>
    <r>
      <rPr>
        <b/>
        <sz val="10"/>
        <color rgb="FF000000"/>
        <rFont val="Montserrat"/>
      </rPr>
      <t xml:space="preserve">
</t>
    </r>
    <r>
      <rPr>
        <sz val="10"/>
        <color rgb="FF000000"/>
        <rFont val="Montserrat"/>
      </rPr>
      <t>FCA 20-01-2025: está em standby
Requisito legal – BdP</t>
    </r>
  </si>
  <si>
    <r>
      <rPr>
        <b/>
        <sz val="10"/>
        <color rgb="FF000000"/>
        <rFont val="Montserrat"/>
      </rPr>
      <t>FCA 20-01-2025: Subiu a PRD a 22-12-25. Sem WFMC/Envio por e-mail ao COM</t>
    </r>
    <r>
      <rPr>
        <sz val="10"/>
        <color rgb="FF000000"/>
        <rFont val="Montserrat"/>
      </rPr>
      <t xml:space="preserve">
Comunicar à Rede e Clientes até 15 Dez    Retira ~20% dos casos das Sucursais Processo o WFMC em certificação pelo COM c/apoio DBDE</t>
    </r>
  </si>
  <si>
    <r>
      <t xml:space="preserve">Fase 3 para </t>
    </r>
    <r>
      <rPr>
        <b/>
        <sz val="10"/>
        <color rgb="FF000000"/>
        <rFont val="Montserrat"/>
      </rPr>
      <t xml:space="preserve">1 ou mais Gerentes </t>
    </r>
    <r>
      <rPr>
        <sz val="10"/>
        <color rgb="FF000000"/>
        <rFont val="Montserrat"/>
      </rPr>
      <t>e com entrega de processo em WFMC e/ou por e-mail</t>
    </r>
  </si>
  <si>
    <t>Apos Login no MSE o Cliente pede chamada. Chamada é entregue na PAM/iPAC aos Operadores da Linha de Apoio com Dados do Cliente e da Empresa em contexto. Permite assegurar ao Operador que o Cliente que pede a chamada foi autenticado e identificado no login ao MSE</t>
  </si>
  <si>
    <r>
      <rPr>
        <b/>
        <sz val="10"/>
        <color rgb="FF000000"/>
        <rFont val="Montserrat"/>
      </rPr>
      <t>FCA 09-03-2026: Em QA a 12-03</t>
    </r>
    <r>
      <rPr>
        <sz val="10"/>
        <color rgb="FF000000"/>
        <rFont val="Montserrat"/>
      </rPr>
      <t xml:space="preserve">
FCA 18-02-2026: Definido com Fernando Cavalheiro este MVP para acompanhar a atividade SE016484 da DBD com o desnevolvimento de criação do novo serviço C2C e entrega chamada na PAM</t>
    </r>
  </si>
  <si>
    <t>DESENVOLVIMENTOS PLANEADOS</t>
  </si>
  <si>
    <r>
      <t xml:space="preserve">Venda remota </t>
    </r>
    <r>
      <rPr>
        <sz val="10"/>
        <color rgb="FF000000"/>
        <rFont val="Montserrat"/>
      </rPr>
      <t xml:space="preserve">com </t>
    </r>
    <r>
      <rPr>
        <b/>
        <sz val="10"/>
        <color rgb="FF000000"/>
        <rFont val="Montserrat"/>
      </rPr>
      <t xml:space="preserve">envio de documentos pelo iPac </t>
    </r>
    <r>
      <rPr>
        <sz val="10"/>
        <color rgb="FF000000"/>
        <rFont val="Montserrat"/>
      </rPr>
      <t xml:space="preserve">para assinatura digital em operações pendentes no MSE </t>
    </r>
  </si>
  <si>
    <r>
      <rPr>
        <b/>
        <sz val="10"/>
        <color rgb="FF000000"/>
        <rFont val="Montserrat"/>
      </rPr>
      <t>FCA 09-03-2026: EM PRD</t>
    </r>
    <r>
      <rPr>
        <sz val="10"/>
        <color rgb="FF000000"/>
        <rFont val="Montserrat"/>
      </rPr>
      <t xml:space="preserve">
FCA 13-02-2026: incluidos os DPs
FCA 27-01-2026: Em certificação</t>
    </r>
    <r>
      <rPr>
        <b/>
        <sz val="10"/>
        <color rgb="FF000000"/>
        <rFont val="Montserrat"/>
      </rPr>
      <t xml:space="preserve">
</t>
    </r>
    <r>
      <rPr>
        <sz val="10"/>
        <color rgb="FF000000"/>
        <rFont val="Montserrat"/>
      </rPr>
      <t>Pronto para arrancar no go live</t>
    </r>
  </si>
  <si>
    <r>
      <t xml:space="preserve">FCA 09-03-2026: EM PRD
</t>
    </r>
    <r>
      <rPr>
        <sz val="10"/>
        <color theme="1"/>
        <rFont val="Montserrat"/>
      </rPr>
      <t>FCA 30-01-2026: go live com testes ao msm tempo dos produtos bancários. Certificação concluida até Mar 26
FCA 27-01-2026: Aguadar entrega serviços da AGEAS</t>
    </r>
  </si>
  <si>
    <t>Revamp do Registo e Recenseamento para Clientes e Não Clientes - reaproveita processo fornecedores Confirming. Em fase de levantamento de requisitos</t>
  </si>
  <si>
    <r>
      <rPr>
        <b/>
        <sz val="10"/>
        <color theme="1"/>
        <rFont val="Montserrat"/>
      </rPr>
      <t xml:space="preserve">FCA 13-02-2026: Calendarizado com AFA QA em Jun e PRD em Set
</t>
    </r>
    <r>
      <rPr>
        <sz val="10"/>
        <color theme="1"/>
        <rFont val="Montserrat"/>
      </rPr>
      <t>FCA 27-01-2026: Quick WIN caiu. Arranca com C2C. Em especificação Azure e aguarda serviço C2C pela DBD
FCA 20-01-2026: requer prioirzação no Labb e no IT</t>
    </r>
    <r>
      <rPr>
        <b/>
        <sz val="10"/>
        <color theme="1"/>
        <rFont val="Montserrat"/>
      </rPr>
      <t xml:space="preserve">
</t>
    </r>
    <r>
      <rPr>
        <sz val="10"/>
        <color theme="1"/>
        <rFont val="Montserrat"/>
      </rPr>
      <t>WIP – Projeto em Azure: entrega em Dez</t>
    </r>
  </si>
  <si>
    <r>
      <rPr>
        <b/>
        <sz val="10"/>
        <color rgb="FF262626"/>
        <rFont val="Montserrat"/>
      </rPr>
      <t>FCA 20-01-2026: WIP com DTO</t>
    </r>
    <r>
      <rPr>
        <sz val="10"/>
        <color rgb="FF262626"/>
        <rFont val="Montserrat"/>
      </rPr>
      <t xml:space="preserve">
Scope em conclusão: DTO/DBDE</t>
    </r>
  </si>
  <si>
    <r>
      <t xml:space="preserve">Versão simplificada – apenas com Entidade Ref MB para testar conceito e </t>
    </r>
    <r>
      <rPr>
        <i/>
        <sz val="10"/>
        <color rgb="FF000000"/>
        <rFont val="Montserrat"/>
      </rPr>
      <t>time-to-market. A incluir no Contrato Único de Acquiring Digital</t>
    </r>
  </si>
  <si>
    <t>Jul 26</t>
  </si>
  <si>
    <r>
      <rPr>
        <sz val="10"/>
        <color rgb="FF000000"/>
        <rFont val="Montserrat"/>
      </rPr>
      <t xml:space="preserve">Falta ainda avaliação técnica das Equipas da PUCC e XFAC. 
</t>
    </r>
    <r>
      <rPr>
        <b/>
        <sz val="10"/>
        <color rgb="FF000000"/>
        <rFont val="Montserrat"/>
      </rPr>
      <t>JML020226 - US's e design concluidos</t>
    </r>
  </si>
  <si>
    <t>DESENVOLVIMENTOS POR PLANEAR &amp; DETALHAR</t>
  </si>
  <si>
    <r>
      <rPr>
        <b/>
        <sz val="10"/>
        <color rgb="FF000000"/>
        <rFont val="Montserrat"/>
      </rPr>
      <t xml:space="preserve">FCA 20-01-2026: Retirqar do Back Log?? Faz sentido fase 5? Ou basta ter info/alarmistica a encaminhar Gerentes para atualização de dados na APP Particulares ou na Sucursal </t>
    </r>
    <r>
      <rPr>
        <sz val="10"/>
        <color rgb="FF000000"/>
        <rFont val="Montserrat"/>
      </rPr>
      <t xml:space="preserve">
Implica fluxo de atualização de dados pessoais dos Gerentes intervenientes nas contas (FIC P) ~60% coverage of uses cases</t>
    </r>
  </si>
  <si>
    <t>API integration Lab</t>
  </si>
  <si>
    <t>Number</t>
  </si>
  <si>
    <r>
      <t>User Story 956426</t>
    </r>
    <r>
      <rPr>
        <sz val="11"/>
        <color rgb="FF000000"/>
        <rFont val="Aptos"/>
        <family val="2"/>
      </rPr>
      <t>: B2B | Criação de Serviços | PISP</t>
    </r>
  </si>
  <si>
    <t>Desativação do FEE -&gt; Migração para MSE</t>
  </si>
  <si>
    <t>Áreas (1º Nível)</t>
  </si>
  <si>
    <t>To Do</t>
  </si>
  <si>
    <t>Feature</t>
  </si>
  <si>
    <t>Funcionalidades</t>
  </si>
  <si>
    <t>Owner</t>
  </si>
  <si>
    <t>DATA ENTREGA IT</t>
  </si>
  <si>
    <t>Esforço Estimado</t>
  </si>
  <si>
    <t>Dashboard</t>
  </si>
  <si>
    <t>Revamp Total</t>
  </si>
  <si>
    <t>Pedro Mousinho</t>
  </si>
  <si>
    <t>Subscrição e gestão do serviço de alertas</t>
  </si>
  <si>
    <t></t>
  </si>
  <si>
    <t>Notificações</t>
  </si>
  <si>
    <t>Nova área de notificações (alertas/emails/eventos, etc)</t>
  </si>
  <si>
    <t xml:space="preserve"> Banco Mail</t>
  </si>
  <si>
    <t>Extinção</t>
  </si>
  <si>
    <t>N/A</t>
  </si>
  <si>
    <t>Serviço de comunicação com Clientes (a descontinuar no âmbito do projeto Costumer CARE)</t>
  </si>
  <si>
    <t>-</t>
  </si>
  <si>
    <t xml:space="preserve">Jornada de adesão ao serviço de Open Banking. Atualizar tb pág. para incluir Bancos Espanhóis. </t>
  </si>
  <si>
    <t>Configurações da Empresa</t>
  </si>
  <si>
    <t>Criação de Operadores</t>
  </si>
  <si>
    <t>Criação de Autorizadores e Gestão de Utilizadores</t>
  </si>
  <si>
    <t xml:space="preserve">Consulta código de adesão e regras de autorização; </t>
  </si>
  <si>
    <t>Pedro/Ricardo</t>
  </si>
  <si>
    <t>Beatriz Melo</t>
  </si>
  <si>
    <t>Gestão de Contas visíveis no site e na App; Personalização de nome de contas</t>
  </si>
  <si>
    <t>Pagamentos</t>
  </si>
  <si>
    <t>Serviços Especiais</t>
  </si>
  <si>
    <t>Serviços específicos para A. Execução, Solicitadores, Prestadores de serviços (Notários e Advogados); Acesso ao SIRC (Sistema Integrado de Recuperação de Crédito)</t>
  </si>
  <si>
    <t></t>
  </si>
  <si>
    <t>Pagamentos de Baixo Valor</t>
  </si>
  <si>
    <t>Consulta de pagamentos Via Verde</t>
  </si>
  <si>
    <t></t>
  </si>
  <si>
    <t>Autorizações de Débitos Diretos</t>
  </si>
  <si>
    <t>Luis Boleto</t>
  </si>
  <si>
    <t>Consulta e Gestão de Autorizações de Débito (DD SEPA)</t>
  </si>
  <si>
    <t>Consulta e Gestão de Autorizações Business to Business (B2B)</t>
  </si>
  <si>
    <t>Consulta e Gestão de operações agendadas</t>
  </si>
  <si>
    <t xml:space="preserve">Pedido de Numerário </t>
  </si>
  <si>
    <t>Serviço de entrega de numerário (trocos)</t>
  </si>
  <si>
    <t>Pedro</t>
  </si>
  <si>
    <t>Requisição</t>
  </si>
  <si>
    <t>Imagens de cheques</t>
  </si>
  <si>
    <t>Serviço de Gestão de Cheques</t>
  </si>
  <si>
    <t>Recebimentos</t>
  </si>
  <si>
    <t>Terminal Pag.to Automático</t>
  </si>
  <si>
    <t>Fechos de TPA e Taxas de Serviço Comerciante (TSC)
Pedido de TPA
TPA Analytics</t>
  </si>
  <si>
    <t xml:space="preserve">IBANs Digitais </t>
  </si>
  <si>
    <t>Adesão, emissão e gestão de IBANs Digitais</t>
  </si>
  <si>
    <t>Outras Operações</t>
  </si>
  <si>
    <t xml:space="preserve">Serviço de Recolha e Tratamento de Valores – Servilock; Consulta Faturas Processadas – LockBox </t>
  </si>
  <si>
    <t>Cartões</t>
  </si>
  <si>
    <t>Consultas</t>
  </si>
  <si>
    <t>Jorge</t>
  </si>
  <si>
    <t>Alterar Limites</t>
  </si>
  <si>
    <r>
      <t xml:space="preserve">Ativação e substituição de identificador da </t>
    </r>
    <r>
      <rPr>
        <i/>
        <sz val="12"/>
        <color rgb="FF000000"/>
        <rFont val="Montserrat"/>
      </rPr>
      <t>Via Verde</t>
    </r>
  </si>
  <si>
    <t>Pedido de Cartão de Crédito</t>
  </si>
  <si>
    <t>Pedido de cartão por via de email para a sucursal (Pretende-se desenvolver jornada de contratação E2E)</t>
  </si>
  <si>
    <t>Créditos</t>
  </si>
  <si>
    <t>Factoring</t>
  </si>
  <si>
    <t>Por iniciar</t>
  </si>
  <si>
    <t>Confirming Compradores</t>
  </si>
  <si>
    <t>Outros financiamentos</t>
  </si>
  <si>
    <t>Crédito Avançar; Empréstimos, Contas correntes e Garantias Bancárias</t>
  </si>
  <si>
    <t>Investimentos</t>
  </si>
  <si>
    <t>Consultas: Outros investimentos</t>
  </si>
  <si>
    <t>Outros investimentos; carteira de titulos; Seguros de capitalização</t>
  </si>
  <si>
    <t>Internacional</t>
  </si>
  <si>
    <t>Ordens de Pagamento</t>
  </si>
  <si>
    <t>Cheques, Consulta de Transferências</t>
  </si>
  <si>
    <t>Cash Management</t>
  </si>
  <si>
    <t>Adesão ao serviço, gestão e transferências de fundos, pedido e recolha de ficheiros de extratos (MT940)</t>
  </si>
  <si>
    <t>Operações Documentárias</t>
  </si>
  <si>
    <t>Abertura e gestão de operações CRIM e REDX</t>
  </si>
  <si>
    <t>Operações Cambiais</t>
  </si>
  <si>
    <t>Acesso a plataforma de negociação RET, Compra de moeda (pedido para sucursal) e consulta de cotações</t>
  </si>
  <si>
    <t>Seguros</t>
  </si>
  <si>
    <t>Carteira</t>
  </si>
  <si>
    <t>Consulta de seguros em carteira</t>
  </si>
  <si>
    <t>Ficheiros</t>
  </si>
  <si>
    <t>Extratos</t>
  </si>
  <si>
    <t>Pedido e consulta de extratos de conta, TPA, histórico de operações e agregação de comissões e portes</t>
  </si>
  <si>
    <t xml:space="preserve">Comprovativos </t>
  </si>
  <si>
    <t>Consulta de comprovativos de operações processadas através de ficheiro</t>
  </si>
  <si>
    <t>Retornos</t>
  </si>
  <si>
    <t>Consulta de ficheiros com informação do resultado da execução das operações</t>
  </si>
  <si>
    <t xml:space="preserve">Caracterização </t>
  </si>
  <si>
    <t>Azure Devops</t>
  </si>
  <si>
    <t xml:space="preserve">ID </t>
  </si>
  <si>
    <t>Serviço/Categoria</t>
  </si>
  <si>
    <t xml:space="preserve">Melhorias por abrir </t>
  </si>
  <si>
    <t>Origem</t>
  </si>
  <si>
    <t>Complexidade</t>
  </si>
  <si>
    <t xml:space="preserve"> IT</t>
  </si>
  <si>
    <t>DBDE</t>
  </si>
  <si>
    <t>Checkpoint</t>
  </si>
  <si>
    <t>30 Abr</t>
  </si>
  <si>
    <t>Em Design (Bliss)</t>
  </si>
  <si>
    <t>Agenda</t>
  </si>
  <si>
    <t>Corrigir bug de triplicação de prestações de crédito na Agenda (ex: final de dezembro)</t>
  </si>
  <si>
    <t>Eduardo Ribeiro / André Cunha</t>
  </si>
  <si>
    <t>Autenticação</t>
  </si>
  <si>
    <t>Substituir ou complementar certificados digitais por métodos modernos (ex: Google Authenticator, M-Token) para agilizar login</t>
  </si>
  <si>
    <t>Melhorar performance e rapidez na exportação de extratos para Excel, especialmente com várias contas</t>
  </si>
  <si>
    <t>Automatizar envio de extratos/recibos para softwares de contabilidade (ex: TOConline), eliminando exportação manual por Empresa</t>
  </si>
  <si>
    <t>Pagamento por Lote</t>
  </si>
  <si>
    <t>Permitir upload de ficheiros Excel simples para pagamentos em lote, em alternativa ao XML (SEPA), com reconhecimento automático da Empresa de origem (benchmark: CGD)</t>
  </si>
  <si>
    <t>Gestão de Cartões</t>
  </si>
  <si>
    <t>Login Multi-Empresas</t>
  </si>
  <si>
    <t>Permitir acesso a diferentes Empresas através de um único login (benchmark: Revolut Business)</t>
  </si>
  <si>
    <t>Parcerias</t>
  </si>
  <si>
    <t>Segurança</t>
  </si>
  <si>
    <t>Após validação de segurança, permitir múltiplas transferências durante um período sem reinserir credenciais (benchmark: CGD com cartão matriz)</t>
  </si>
  <si>
    <t>Digital Breakfast 2ª Sessão — 16/03/2026</t>
  </si>
  <si>
    <t>Digitalizar e agilizar o processo de agrupamento de Empresas, eliminando dependência da sucursal/gestor (cliente em espera há 6 meses; benchmark: CGD imediato, Revolut intuitivo)</t>
  </si>
  <si>
    <t>André Rodrigues Silva / José Seixas Vale</t>
  </si>
  <si>
    <t>Pagamento a Fornecedores</t>
  </si>
  <si>
    <t>Permitir partilha de beneficiários entre Empresas do mesmo grupo, evitando duplicação de trabalho</t>
  </si>
  <si>
    <t>André Rodrigues Silva</t>
  </si>
  <si>
    <t>Simplificar navegação para aceder a extratos de cartões pré-pagos (PDF e Excel)</t>
  </si>
  <si>
    <t>Permitir acesso a movimentos com mais de 90 dias</t>
  </si>
  <si>
    <t>Autenticação e Certificados Digitais</t>
  </si>
  <si>
    <t>Resolver dificuldades de instalação de certificados digitais em Mac (Firefox) — cliente desistiu e precisou de apoio</t>
  </si>
  <si>
    <t>José Seixas Vale</t>
  </si>
  <si>
    <t>Melhorar descoberta de funcionalidades no site (ex: dificuldade em encontrar página de cartões pré-pagos)</t>
  </si>
  <si>
    <t>Cartões Pré-Pagos</t>
  </si>
  <si>
    <t>Permitir plafonds ajustáveis nos cartões pré-pagos à medida da necessidade, em vez de teto máximo fixo</t>
  </si>
  <si>
    <t>Gestão de Roles / Permissões</t>
  </si>
  <si>
    <t>Implementar gestão flexível de roles (contabilista, administrador, operador) com gestão autónoma de autorizações (benchmark: Revolut Business)</t>
  </si>
  <si>
    <t>OCR / Pagamentos</t>
  </si>
  <si>
    <t>Agenda (Renomeação/UX)</t>
  </si>
  <si>
    <t>Cada nova operação pendente deve gerar notificação com número de operações pendentes, com possibilidade de customizar alertas</t>
  </si>
  <si>
    <t>Digital Breakfast 1ª Sessão — 04/03/2026</t>
  </si>
  <si>
    <t>Prioridade</t>
  </si>
  <si>
    <t>ID</t>
  </si>
  <si>
    <t>Progresso</t>
  </si>
  <si>
    <t xml:space="preserve"> </t>
  </si>
  <si>
    <t>Tipo</t>
  </si>
  <si>
    <t>Bug</t>
  </si>
  <si>
    <t>Melhoria Funcional</t>
  </si>
  <si>
    <t>Criar ou comunicar melhor um clube de parceiros relevantes (companhias aéreas, saúde, desporto) para Clientes Empresariais e colaboradores (benchmark: CoverFlex) ex: Revolut Plans</t>
  </si>
  <si>
    <t>Melhoria Institucional</t>
  </si>
  <si>
    <t>Melhoria Frontend</t>
  </si>
  <si>
    <t>Rever emissão de cartões corporativos: - permitir emissão ágil de cartões (físicos ou virtuais) para colaboradores, com envio direto para morada do utilizador via App, sem centralização no titular</t>
  </si>
  <si>
    <t>Recenseamento</t>
  </si>
  <si>
    <t>Acessibilidade</t>
  </si>
  <si>
    <t xml:space="preserve">Implementar OCR dinâmico para deteção automática de IBAN, montante e campos ao submeter faturas </t>
  </si>
  <si>
    <t xml:space="preserve">André Cunha </t>
  </si>
  <si>
    <t>André Cunha</t>
  </si>
  <si>
    <t>Standby/ Relançar com nova APP Empresas</t>
  </si>
  <si>
    <t>contactar cliente para validar se ok</t>
  </si>
  <si>
    <t xml:space="preserve">incluir revamp de alertas, contactar após </t>
  </si>
  <si>
    <t>US já feita (reminder 21 maio)</t>
  </si>
  <si>
    <t>dmpa - diogo</t>
  </si>
  <si>
    <t>Em desenvolvimento DBDE</t>
  </si>
  <si>
    <t>Sem prioridade comercial atual, avaliar com lab de marketplace (DBD)</t>
  </si>
  <si>
    <t>avaliar e informar equipa de nova app empresas</t>
  </si>
  <si>
    <t>Em desenvolvimento DBDE(ligado com ponto 7)</t>
  </si>
  <si>
    <t xml:space="preserve">Sem prioridade </t>
  </si>
  <si>
    <t>psd2</t>
  </si>
  <si>
    <t>BUG ABERTO por confirmar; ver com rui baixinho</t>
  </si>
  <si>
    <t>Pesquisador</t>
  </si>
  <si>
    <t>research agendada</t>
  </si>
  <si>
    <t>incorporar/avaliar no revamp registo de empresas</t>
  </si>
  <si>
    <t>Renomear "Agenda" para "Previsão de Tesouraria"; renomear "Agendamentos" para "Operações Agendadas" e incluir todas as operações como débitos diretos e serviços de dívida</t>
  </si>
  <si>
    <t>Previsto; avaliar/mostrar proposta com clientes</t>
  </si>
  <si>
    <t>Relançado já com feedback de DB</t>
  </si>
  <si>
    <t xml:space="preserve">Fechado </t>
  </si>
  <si>
    <t>Bug 990394 MSE | RevampFEE MVP2 | BUGS | pagamentos em triplicado na agenda</t>
  </si>
  <si>
    <t>23/04- Ultima Atualização</t>
  </si>
  <si>
    <t>Comunicar à Rede e Clientes até 15 Dez    Retira ~20% dos casos das Sucursais Processo o WFMC em certificação pelo COM c/apoio DBDE</t>
  </si>
  <si>
    <t>Projeto/Melhoria</t>
  </si>
  <si>
    <t>Ficheiro Excel com Pagamentos</t>
  </si>
  <si>
    <t xml:space="preserve">Hub Crédito </t>
  </si>
  <si>
    <t>Garantias Bancárias</t>
  </si>
  <si>
    <t>Confirming Revamp Compradores</t>
  </si>
  <si>
    <t>Trade Finance</t>
  </si>
  <si>
    <t xml:space="preserve">Envio de ficheiro SAF-T </t>
  </si>
  <si>
    <t>Download de ficheiros KAFKA</t>
  </si>
  <si>
    <t>Compprofile Espanha (atividade de backend)</t>
  </si>
  <si>
    <t>Detalhe de Leasing</t>
  </si>
  <si>
    <t>Nova jornada de Crédito Avançar</t>
  </si>
  <si>
    <t>Nova jornada para instalar Certificado Digital</t>
  </si>
  <si>
    <t>Nova jornada de requisição de Cheques</t>
  </si>
  <si>
    <t>Nova jornada de ativação Via Verde</t>
  </si>
  <si>
    <t>Pedir Cartão de Débito</t>
  </si>
  <si>
    <t>Melhorias | Consulta de Movimentos | Pesquisa por data e/ou descritivo | Adicionar saldo após movimento</t>
  </si>
  <si>
    <t>Melhorias | Transferências com referências de câmbio negociadas | Conta suporte diferente da(s) conta(s) da operação | Regras de visibilidade das referências</t>
  </si>
  <si>
    <t>Melhorias | Transferências Entre as Minhas Contas | Agendamento</t>
  </si>
  <si>
    <t>Melhorias | Transferências Entre as Minhas Contas | Em divisas | Mais informação no detalhe da operação em Pendente e Histórico</t>
  </si>
  <si>
    <t>Melhorias | Consulta de Movimentos | Detalhe do movimento | Cartões</t>
  </si>
  <si>
    <t>Melhorias | beneficiários obrigatoriedade de input de dados</t>
  </si>
  <si>
    <t>B2B | Alteração do Protocolo da Mensagem | Alteração da Mensagem de SOAP para REST</t>
  </si>
  <si>
    <t>B2B | REST - Consulta de Saldos e Movimentos de Conta</t>
  </si>
  <si>
    <t>B2B | REST - Confirmação do NIF do proprietário do IBAN (ConfirmationCOPB)</t>
  </si>
  <si>
    <t>B2B | Criação na PSDC | Criação de entrada do serviço ConfirmationCOPB</t>
  </si>
  <si>
    <t>B2B | REST - Ordem de Transferência Nacional Pontual / Agendada</t>
  </si>
  <si>
    <t>B2B | REST - Consulta do Motivo da Transação Devolvida</t>
  </si>
  <si>
    <t>B2B | REST - Ordem de Transferência Internacional Pontual</t>
  </si>
  <si>
    <t>B2B | REST - Ficheiros C2B (Ficheiro de Pagamentos e Cobranças)</t>
  </si>
  <si>
    <t>B2B | REST - Listagem de Ficheiros de Retorno</t>
  </si>
  <si>
    <t>B2B | REST - Erros de Ficheiro</t>
  </si>
  <si>
    <t>B2B | REST - Detalhe das transferencias recebidas OIC</t>
  </si>
  <si>
    <t>B2B | REST  - Listagem de Extratos e Notas de Lançamento</t>
  </si>
  <si>
    <t>B2B | REST - Consulta de Movimentos de Cartão</t>
  </si>
  <si>
    <t>B2B | REST - Ficheiros DUC</t>
  </si>
  <si>
    <t>B2B | REST -  Ficheiros PSM</t>
  </si>
  <si>
    <t>B2B | REST - Criação de Serviços | PISP</t>
  </si>
  <si>
    <t>SME Financing Lab</t>
  </si>
  <si>
    <t>API Integration Lab</t>
  </si>
  <si>
    <t>CORE Lab</t>
  </si>
  <si>
    <t>Best Site &amp; App Lab</t>
  </si>
  <si>
    <t>PEDIDO DE ENCERRAMENTO DE CONTA</t>
  </si>
  <si>
    <t>REGISTO E RECENSEAMENTO NÃO CLIENTES</t>
  </si>
  <si>
    <t>REVAMP KYC DE EMPRESAS - FLUXO E DOCUMENTO</t>
  </si>
  <si>
    <t>MOD | A SUA SUCURSAL DIGITAL - ENTREGA 1</t>
  </si>
  <si>
    <t>REVAMP CUSTOMER CARE C/ GETHELP | GENAI</t>
  </si>
  <si>
    <t>DAU - PEDIDO DE DECLARAÇÃO DE AUDITORES</t>
  </si>
  <si>
    <t>INFORMADB | NOTIFY - AÇÕES INICIATIVA BANCO</t>
  </si>
  <si>
    <t>ADR | OP PEND - DMFI &amp; RAI</t>
  </si>
  <si>
    <t>ESTAFETAS VTM | AR016753 – REGISTO E GESTÃO</t>
  </si>
  <si>
    <t>CPI - GESTÃO PEDIDOS ASD</t>
  </si>
  <si>
    <t>VENDA CHEQUE SOBRE ESTRANGEIRO</t>
  </si>
  <si>
    <t>C2C | CLICK TO CALL - ACESSO DIRETO APÓS LOGIN</t>
  </si>
  <si>
    <t xml:space="preserve">RECOLHA TIN ESTRANGEIROS - PR015128 </t>
  </si>
  <si>
    <t>B2B | Criação de Serviços | VoP</t>
  </si>
  <si>
    <t>Agenda 2.0</t>
  </si>
  <si>
    <t>Nova jornada de Operadores pós-login</t>
  </si>
  <si>
    <t>Assinatura de notificações de Factoring</t>
  </si>
  <si>
    <t>Consulta de créditos - Fase 2 (melhorias/excel)</t>
  </si>
  <si>
    <t>B2B | Serviço de Consulta de detalhe de movimentos de devolução</t>
  </si>
  <si>
    <t>CRIAÇÃO DE MASTER USER</t>
  </si>
  <si>
    <t xml:space="preserve">NOVA JORNADA DE REGISTO INICIAL E RECENSEAMENTO </t>
  </si>
  <si>
    <t>ADR | OP PEND | AR016393 DAR AUTENTICAÇÃO FORTE (Declaração de Assunção de Risco)</t>
  </si>
  <si>
    <t>C2C | Co-browsing</t>
  </si>
  <si>
    <t>Maio/Junho</t>
  </si>
  <si>
    <t>Migrar Clientes</t>
  </si>
  <si>
    <t>Excel do Jorge</t>
  </si>
  <si>
    <t>Revamp</t>
  </si>
  <si>
    <t>P Planear</t>
  </si>
  <si>
    <t>Retomar</t>
  </si>
  <si>
    <t>US - Certidão</t>
  </si>
  <si>
    <t>MDSE - FASE 4/5 (n gerentes) 5= US de melhoria</t>
  </si>
  <si>
    <t>Meet</t>
  </si>
  <si>
    <t>Romulo</t>
  </si>
  <si>
    <t>API SITUAÇÃO ATIVIDADE AUTORIDADE TRIBUTÁRIA - ACED e MDSE</t>
  </si>
  <si>
    <t>Esta cmg</t>
  </si>
  <si>
    <t>App M Empresas; Gerir Contas Dados pessoais</t>
  </si>
  <si>
    <t>Ativação do Canal Direto/B2B Millennium API</t>
  </si>
  <si>
    <t>Nova Montra /Jornadas Meios de Recebimento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</si>
</sst>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\-mm\-yyyy;@"/>
    <numFmt numFmtId="165" formatCode=";;;"/>
  </numFmts>
  <fonts count="9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D1005D"/>
      <name val="Montserrat"/>
    </font>
    <font>
      <u/>
      <sz val="11"/>
      <color theme="10"/>
      <name val="Aptos Narrow"/>
      <family val="2"/>
      <scheme val="minor"/>
    </font>
    <font>
      <sz val="18"/>
      <name val="Arial"/>
      <family val="2"/>
    </font>
    <font>
      <b/>
      <sz val="8"/>
      <color rgb="FFFFFFFF"/>
      <name val="Montserrat"/>
    </font>
    <font>
      <b/>
      <sz val="10.5"/>
      <color rgb="FFFFFFFF"/>
      <name val="Montserrat"/>
    </font>
    <font>
      <b/>
      <sz val="8"/>
      <color rgb="FF7F7F7F"/>
      <name val="Montserrat"/>
    </font>
    <font>
      <b/>
      <sz val="10.5"/>
      <color rgb="FF000000"/>
      <name val="Montserrat"/>
    </font>
    <font>
      <sz val="10.5"/>
      <color rgb="FF000000"/>
      <name val="Montserrat"/>
    </font>
    <font>
      <b/>
      <sz val="7"/>
      <color rgb="FF000000"/>
      <name val="Montserrat"/>
    </font>
    <font>
      <sz val="10"/>
      <color theme="1"/>
      <name val="Montserrat"/>
    </font>
    <font>
      <sz val="10"/>
      <color rgb="FF000000"/>
      <name val="Montserrat"/>
    </font>
    <font>
      <b/>
      <sz val="10"/>
      <color rgb="FF000000"/>
      <name val="Montserrat"/>
    </font>
    <font>
      <sz val="9"/>
      <color rgb="FF000000"/>
      <name val="Montserrat"/>
    </font>
    <font>
      <b/>
      <sz val="9"/>
      <color rgb="FF000000"/>
      <name val="Montserrat"/>
    </font>
    <font>
      <b/>
      <sz val="7"/>
      <color rgb="FF7F7F7F"/>
      <name val="Montserrat"/>
    </font>
    <font>
      <sz val="10"/>
      <name val="Montserrat"/>
    </font>
    <font>
      <sz val="10"/>
      <color rgb="FF262626"/>
      <name val="Montserrat"/>
    </font>
    <font>
      <i/>
      <sz val="10"/>
      <color rgb="FF000000"/>
      <name val="Montserrat"/>
    </font>
    <font>
      <sz val="10"/>
      <color theme="1"/>
      <name val="Aptos Narrow"/>
      <family val="2"/>
      <scheme val="minor"/>
    </font>
    <font>
      <b/>
      <sz val="10"/>
      <color theme="1"/>
      <name val="Montserrat"/>
    </font>
    <font>
      <u/>
      <sz val="11"/>
      <color rgb="FF005A9E"/>
      <name val="Aptos"/>
      <family val="2"/>
    </font>
    <font>
      <sz val="11"/>
      <color rgb="FF000000"/>
      <name val="Aptos"/>
      <family val="2"/>
    </font>
    <font>
      <b/>
      <sz val="8"/>
      <name val="Montserrat"/>
    </font>
    <font>
      <sz val="12"/>
      <color rgb="FF000000"/>
      <name val="Montserrat"/>
    </font>
    <font>
      <sz val="12"/>
      <color theme="1"/>
      <name val="Aptos Narrow"/>
      <family val="2"/>
      <scheme val="minor"/>
    </font>
    <font>
      <sz val="12"/>
      <name val="Arial"/>
      <family val="2"/>
    </font>
    <font>
      <sz val="28"/>
      <color rgb="FF000000"/>
      <name val="Montserrat"/>
    </font>
    <font>
      <sz val="28"/>
      <color rgb="FF000000"/>
      <name val="Webdings"/>
      <family val="1"/>
      <charset val="2"/>
    </font>
    <font>
      <sz val="28"/>
      <name val="Arial"/>
      <family val="2"/>
    </font>
    <font>
      <b/>
      <sz val="11"/>
      <color rgb="FF000000"/>
      <name val="Montserrat"/>
    </font>
    <font>
      <b/>
      <sz val="11"/>
      <color theme="1"/>
      <name val="Montserrat"/>
    </font>
    <font>
      <b/>
      <sz val="11"/>
      <color rgb="FF0D0D0D"/>
      <name val="Montserrat"/>
    </font>
    <font>
      <i/>
      <sz val="12"/>
      <color rgb="FF000000"/>
      <name val="Montserrat"/>
    </font>
    <font>
      <sz val="12"/>
      <color rgb="FFFFFFFF"/>
      <name val="Montserrat"/>
    </font>
    <font>
      <b/>
      <sz val="11.2"/>
      <color rgb="FF000000"/>
      <name val="Montserrat"/>
    </font>
    <font>
      <sz val="11.2"/>
      <color rgb="FF000000"/>
      <name val="Montserrat"/>
    </font>
    <font>
      <b/>
      <sz val="18"/>
      <color rgb="FF000000"/>
      <name val="Montserrat"/>
    </font>
    <font>
      <b/>
      <sz val="18"/>
      <color rgb="FF0D0D0D"/>
      <name val="Montserrat"/>
    </font>
    <font>
      <b/>
      <sz val="14"/>
      <color rgb="FFFFFFFF"/>
      <name val="Montserrat"/>
    </font>
    <font>
      <b/>
      <sz val="8"/>
      <color theme="1"/>
      <name val="Montserrat"/>
    </font>
    <font>
      <b/>
      <sz val="10.5"/>
      <color theme="1"/>
      <name val="Montserrat"/>
    </font>
    <font>
      <b/>
      <sz val="36"/>
      <color theme="1"/>
      <name val="Montserrat"/>
    </font>
    <font>
      <b/>
      <sz val="22"/>
      <color rgb="FFD1005D"/>
      <name val="Montserrat"/>
    </font>
    <font>
      <b/>
      <sz val="22"/>
      <color theme="1"/>
      <name val="Montserrat"/>
    </font>
    <font>
      <b/>
      <sz val="22"/>
      <color rgb="FF92D050"/>
      <name val="Montserrat"/>
    </font>
    <font>
      <b/>
      <sz val="26"/>
      <color rgb="FFD1005D"/>
      <name val="Montserrat"/>
    </font>
    <font>
      <sz val="11"/>
      <color theme="0"/>
      <name val="Aptos Narrow"/>
      <family val="2"/>
      <scheme val="minor"/>
    </font>
    <font>
      <b/>
      <sz val="10"/>
      <color rgb="FF262626"/>
      <name val="Montserrat"/>
    </font>
    <font>
      <sz val="11"/>
      <color theme="1"/>
      <name val="Montserrat"/>
    </font>
    <font>
      <b/>
      <sz val="11"/>
      <color theme="0"/>
      <name val="Montserrat"/>
    </font>
    <font>
      <b/>
      <sz val="14"/>
      <color theme="1"/>
      <name val="Montserrat"/>
    </font>
    <font>
      <b/>
      <sz val="14"/>
      <color theme="1"/>
      <name val="Aptos Narrow"/>
      <family val="2"/>
      <scheme val="minor"/>
    </font>
    <font>
      <sz val="12"/>
      <color theme="1"/>
      <name val="Montserrat"/>
    </font>
    <font>
      <b/>
      <sz val="11"/>
      <color rgb="FF002060"/>
      <name val="Montserrat"/>
    </font>
    <font>
      <sz val="8"/>
      <color rgb="FF002060"/>
      <name val="Montserrat"/>
    </font>
    <font>
      <sz val="10"/>
      <color rgb="FF002060"/>
      <name val="Montserrat"/>
    </font>
    <font>
      <b/>
      <sz val="10"/>
      <color rgb="FF002060"/>
      <name val="Montserrat"/>
    </font>
    <font>
      <sz val="10"/>
      <color rgb="FF002060"/>
      <name val="Aptos Narrow"/>
      <family val="2"/>
      <scheme val="minor"/>
    </font>
    <font>
      <sz val="12"/>
      <color rgb="FF002060"/>
      <name val="Montserrat"/>
    </font>
    <font>
      <b/>
      <sz val="8"/>
      <color rgb="FF000000"/>
      <name val="Montserrat"/>
    </font>
    <font>
      <sz val="2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4"/>
      <color rgb="FF000000"/>
      <name val="Montserrat"/>
    </font>
    <font>
      <sz val="8"/>
      <name val="Aptos Narrow"/>
      <family val="2"/>
      <scheme val="minor"/>
    </font>
    <font>
      <b/>
      <sz val="18"/>
      <color theme="1"/>
      <name val="Montserrat"/>
    </font>
    <font>
      <sz val="11.2"/>
      <name val="Montserrat"/>
    </font>
    <font>
      <sz val="12"/>
      <color theme="0"/>
      <name val="Montserrat"/>
    </font>
    <font>
      <b/>
      <sz val="11.2"/>
      <name val="Montserrat"/>
    </font>
    <font>
      <sz val="11"/>
      <color rgb="FF000000"/>
      <name val="Montserrat"/>
    </font>
    <font>
      <sz val="10.5"/>
      <color rgb="FFFF0000"/>
      <name val="Montserrat"/>
    </font>
    <font>
      <b/>
      <sz val="9.5"/>
      <color rgb="FF000000"/>
      <name val="Montserrat"/>
    </font>
    <font>
      <b/>
      <sz val="9"/>
      <color rgb="FF7F7F7F"/>
      <name val="Montserrat"/>
    </font>
    <font>
      <sz val="9"/>
      <color rgb="FFFF0000"/>
      <name val="Montserrat"/>
    </font>
    <font>
      <sz val="9"/>
      <name val="Montserrat"/>
    </font>
    <font>
      <sz val="9"/>
      <color rgb="FF262626"/>
      <name val="Montserrat"/>
    </font>
    <font>
      <i/>
      <sz val="9"/>
      <color rgb="FF000000"/>
      <name val="Montserrat"/>
    </font>
    <font>
      <u/>
      <sz val="9"/>
      <color rgb="FF005A9E"/>
      <name val="Montserrat"/>
    </font>
    <font>
      <b/>
      <sz val="9"/>
      <name val="Montserrat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2"/>
      <color theme="0"/>
      <name val="Montserrat"/>
    </font>
    <font>
      <b/>
      <sz val="12"/>
      <color theme="1"/>
      <name val="Montserrat"/>
    </font>
    <font>
      <sz val="12"/>
      <name val="Montserrat"/>
    </font>
    <font>
      <sz val="9.4"/>
      <color rgb="FF111827"/>
      <name val="Montserrat"/>
    </font>
    <font>
      <sz val="9.4"/>
      <color theme="1"/>
      <name val="Montserrat"/>
    </font>
    <font>
      <b/>
      <sz val="15.7"/>
      <color rgb="FF111827"/>
      <name val="Montserrat"/>
    </font>
    <font>
      <b/>
      <sz val="10"/>
      <color theme="0"/>
      <name val="Montserrat"/>
    </font>
    <font>
      <sz val="11"/>
      <color rgb="FFC00000"/>
      <name val="Montserrat"/>
    </font>
    <font>
      <sz val="11"/>
      <color theme="9" tint="-0.249977111117893"/>
      <name val="Montserrat"/>
    </font>
    <font>
      <sz val="11"/>
      <color rgb="FF0070C0"/>
      <name val="Montserrat"/>
    </font>
    <font>
      <sz val="11"/>
      <color theme="8" tint="-0.249977111117893"/>
      <name val="Montserrat"/>
    </font>
    <font>
      <sz val="12"/>
      <name val="Aptos Narrow"/>
      <family val="2"/>
      <scheme val="minor"/>
    </font>
    <font>
      <b/>
      <sz val="13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8"/>
      <color rgb="FFFFFFFF"/>
      <name val="Calibri"/>
      <family val="2"/>
    </font>
    <font>
      <b/>
      <sz val="9"/>
      <color rgb="FF000000"/>
      <name val="Calibri"/>
      <family val="2"/>
    </font>
    <font>
      <i/>
      <sz val="9"/>
      <color rgb="FF7F7F7F"/>
      <name val="Calibri"/>
      <family val="2"/>
    </font>
    <font>
      <sz val="10"/>
      <color rgb="FFFFFFFF"/>
      <name val="Calibri"/>
      <family val="2"/>
    </font>
  </fonts>
  <fills count="43">
    <fill>
      <patternFill patternType="none"/>
    </fill>
    <fill>
      <patternFill patternType="gray125"/>
    </fill>
    <fill>
      <patternFill patternType="solid">
        <fgColor rgb="FFE5AAB6"/>
        <bgColor indexed="64"/>
      </patternFill>
    </fill>
    <fill>
      <patternFill patternType="solid">
        <fgColor rgb="FFE3669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1005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005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E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3669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theme="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C00000"/>
        <bgColor indexed="64"/>
      </patternFill>
    </fill>
  </fills>
  <borders count="141">
    <border>
      <left/>
      <right/>
      <top/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medium">
        <color rgb="FFFFFFFF"/>
      </right>
      <top/>
      <bottom style="dotted">
        <color rgb="FF000000"/>
      </bottom>
      <diagonal/>
    </border>
    <border>
      <left style="medium">
        <color rgb="FFFFFFFF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FFFFFF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medium">
        <color rgb="FFFFFFFF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FFFFFF"/>
      </right>
      <top style="dotted">
        <color rgb="FF000000"/>
      </top>
      <bottom/>
      <diagonal/>
    </border>
    <border>
      <left style="medium">
        <color rgb="FFFFFFFF"/>
      </left>
      <right style="dotted">
        <color rgb="FF000000"/>
      </right>
      <top style="dotted">
        <color rgb="FF000000"/>
      </top>
      <bottom style="thick">
        <color rgb="FF000000"/>
      </bottom>
      <diagonal/>
    </border>
    <border>
      <left style="medium">
        <color rgb="FFFFFFFF"/>
      </left>
      <right style="dotted">
        <color rgb="FF000000"/>
      </right>
      <top/>
      <bottom style="thick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ck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ck">
        <color rgb="FF000000"/>
      </bottom>
      <diagonal/>
    </border>
    <border>
      <left style="dotted">
        <color rgb="FF000000"/>
      </left>
      <right style="medium">
        <color rgb="FFFFFFFF"/>
      </right>
      <top style="dotted">
        <color rgb="FF000000"/>
      </top>
      <bottom style="thick">
        <color rgb="FF000000"/>
      </bottom>
      <diagonal/>
    </border>
    <border>
      <left style="medium">
        <color rgb="FFFFFFFF"/>
      </left>
      <right style="dotted">
        <color rgb="FF000000"/>
      </right>
      <top style="thick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ck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FFFFFF"/>
      </right>
      <top style="thick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medium">
        <color rgb="FFFFFFFF"/>
      </left>
      <right style="dotted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medium">
        <color rgb="FFFFFFFF"/>
      </right>
      <top/>
      <bottom/>
      <diagonal/>
    </border>
    <border>
      <left style="medium">
        <color rgb="FFFFFFFF"/>
      </left>
      <right style="dotted">
        <color rgb="FF000000"/>
      </right>
      <top style="thick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ck">
        <color rgb="FF000000"/>
      </top>
      <bottom/>
      <diagonal/>
    </border>
    <border>
      <left style="dotted">
        <color rgb="FF000000"/>
      </left>
      <right style="medium">
        <color rgb="FFFFFFFF"/>
      </right>
      <top style="thick">
        <color rgb="FF000000"/>
      </top>
      <bottom/>
      <diagonal/>
    </border>
    <border>
      <left style="dotted">
        <color rgb="FF000000"/>
      </left>
      <right style="medium">
        <color rgb="FFFFFFFF"/>
      </right>
      <top style="thin">
        <color indexed="64"/>
      </top>
      <bottom/>
      <diagonal/>
    </border>
    <border>
      <left style="dotted">
        <color rgb="FF000000"/>
      </left>
      <right style="dotted">
        <color rgb="FF000000"/>
      </right>
      <top/>
      <bottom style="dashed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 style="thick">
        <color rgb="FF000000"/>
      </top>
      <bottom/>
      <diagonal/>
    </border>
    <border>
      <left style="dotted">
        <color rgb="FF000000"/>
      </left>
      <right style="medium">
        <color rgb="FFFFFFFF"/>
      </right>
      <top style="thick">
        <color rgb="FF000000"/>
      </top>
      <bottom style="thin">
        <color indexed="64"/>
      </bottom>
      <diagonal/>
    </border>
    <border>
      <left/>
      <right/>
      <top style="dotted">
        <color rgb="FF000000"/>
      </top>
      <bottom style="thick">
        <color rgb="FF000000"/>
      </bottom>
      <diagonal/>
    </border>
    <border>
      <left/>
      <right style="dotted">
        <color rgb="FF000000"/>
      </right>
      <top/>
      <bottom style="thick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indexed="64"/>
      </top>
      <bottom style="dotted">
        <color rgb="FF000000"/>
      </bottom>
      <diagonal/>
    </border>
    <border>
      <left style="dotted">
        <color rgb="FF000000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rgb="FFFFFFFF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rgb="FF000000"/>
      </right>
      <top style="dotted">
        <color indexed="64"/>
      </top>
      <bottom style="dotted">
        <color indexed="64"/>
      </bottom>
      <diagonal/>
    </border>
    <border>
      <left/>
      <right style="dotted">
        <color rgb="FF000000"/>
      </right>
      <top style="dotted">
        <color rgb="FF000000"/>
      </top>
      <bottom style="thick">
        <color rgb="FF000000"/>
      </bottom>
      <diagonal/>
    </border>
    <border>
      <left/>
      <right style="dotted">
        <color rgb="FF000000"/>
      </right>
      <top style="thick">
        <color rgb="FF000000"/>
      </top>
      <bottom style="dotted">
        <color rgb="FF000000"/>
      </bottom>
      <diagonal/>
    </border>
    <border>
      <left style="dotted">
        <color rgb="FF000000"/>
      </left>
      <right/>
      <top style="thick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thick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FFFFFF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ashed">
        <color rgb="FF000000"/>
      </right>
      <top/>
      <bottom/>
      <diagonal/>
    </border>
    <border>
      <left style="dashed">
        <color rgb="FF000000"/>
      </left>
      <right style="dashed">
        <color rgb="FF000000"/>
      </right>
      <top/>
      <bottom/>
      <diagonal/>
    </border>
    <border>
      <left style="dashed">
        <color rgb="FF000000"/>
      </left>
      <right style="dashed">
        <color rgb="FF000000"/>
      </right>
      <top style="thick">
        <color rgb="FF000000"/>
      </top>
      <bottom style="dotted">
        <color rgb="FF000000"/>
      </bottom>
      <diagonal/>
    </border>
    <border>
      <left style="dashed">
        <color rgb="FF000000"/>
      </left>
      <right style="dashed">
        <color rgb="FF000000"/>
      </right>
      <top style="dotted">
        <color rgb="FF000000"/>
      </top>
      <bottom style="dotted">
        <color rgb="FF000000"/>
      </bottom>
      <diagonal/>
    </border>
    <border>
      <left style="dashed">
        <color rgb="FF000000"/>
      </left>
      <right style="dashed">
        <color rgb="FF000000"/>
      </right>
      <top style="dotted">
        <color rgb="FF000000"/>
      </top>
      <bottom style="thick">
        <color rgb="FF000000"/>
      </bottom>
      <diagonal/>
    </border>
    <border>
      <left style="dashed">
        <color rgb="FF000000"/>
      </left>
      <right/>
      <top style="dotted">
        <color rgb="FF000000"/>
      </top>
      <bottom style="thick">
        <color rgb="FF000000"/>
      </bottom>
      <diagonal/>
    </border>
    <border>
      <left style="dashed">
        <color rgb="FF000000"/>
      </left>
      <right style="dash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ashed">
        <color rgb="FF000000"/>
      </right>
      <top style="thick">
        <color rgb="FF000000"/>
      </top>
      <bottom style="thick">
        <color rgb="FF000000"/>
      </bottom>
      <diagonal/>
    </border>
    <border>
      <left style="dashed">
        <color rgb="FF000000"/>
      </left>
      <right style="dashed">
        <color rgb="FF000000"/>
      </right>
      <top style="thick">
        <color rgb="FF000000"/>
      </top>
      <bottom style="thick">
        <color rgb="FF000000"/>
      </bottom>
      <diagonal/>
    </border>
    <border>
      <left style="dashed">
        <color rgb="FF000000"/>
      </left>
      <right style="dashed">
        <color rgb="FF000000"/>
      </right>
      <top style="thick">
        <color rgb="FF000000"/>
      </top>
      <bottom style="hair">
        <color rgb="FF000000"/>
      </bottom>
      <diagonal/>
    </border>
    <border>
      <left style="dashed">
        <color rgb="FF000000"/>
      </left>
      <right style="dashed">
        <color rgb="FF000000"/>
      </right>
      <top style="hair">
        <color rgb="FF000000"/>
      </top>
      <bottom style="hair">
        <color rgb="FF000000"/>
      </bottom>
      <diagonal/>
    </border>
    <border>
      <left style="dashed">
        <color rgb="FF000000"/>
      </left>
      <right style="dashed">
        <color rgb="FF000000"/>
      </right>
      <top style="hair">
        <color rgb="FF000000"/>
      </top>
      <bottom style="thick">
        <color rgb="FF000000"/>
      </bottom>
      <diagonal/>
    </border>
    <border>
      <left style="dotted">
        <color rgb="FF000000"/>
      </left>
      <right style="dotted">
        <color rgb="FF000000"/>
      </right>
      <top style="hair">
        <color rgb="FF000000"/>
      </top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 style="hair">
        <color rgb="FF000000"/>
      </top>
      <bottom style="thick">
        <color rgb="FF000000"/>
      </bottom>
      <diagonal/>
    </border>
    <border>
      <left style="medium">
        <color rgb="FFFFFFFF"/>
      </left>
      <right style="dotted">
        <color rgb="FF000000"/>
      </right>
      <top style="dotted">
        <color rgb="FF000000"/>
      </top>
      <bottom style="thin">
        <color indexed="64"/>
      </bottom>
      <diagonal/>
    </border>
    <border>
      <left style="dashed">
        <color rgb="FF000000"/>
      </left>
      <right style="dashed">
        <color rgb="FF000000"/>
      </right>
      <top/>
      <bottom style="thick">
        <color rgb="FF000000"/>
      </bottom>
      <diagonal/>
    </border>
    <border>
      <left style="dashed">
        <color rgb="FF000000"/>
      </left>
      <right style="dash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ashed">
        <color rgb="FF000000"/>
      </right>
      <top style="thick">
        <color rgb="FF000000"/>
      </top>
      <bottom/>
      <diagonal/>
    </border>
    <border>
      <left style="dotted">
        <color rgb="FF000000"/>
      </left>
      <right style="dashed">
        <color rgb="FF000000"/>
      </right>
      <top/>
      <bottom style="thick">
        <color rgb="FF000000"/>
      </bottom>
      <diagonal/>
    </border>
    <border>
      <left style="dashed">
        <color rgb="FF000000"/>
      </left>
      <right style="dashed">
        <color rgb="FF000000"/>
      </right>
      <top style="thick">
        <color rgb="FF000000"/>
      </top>
      <bottom/>
      <diagonal/>
    </border>
    <border>
      <left style="dash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ashDot">
        <color rgb="FF000000"/>
      </right>
      <top style="dashed">
        <color rgb="FF000000"/>
      </top>
      <bottom style="dashed">
        <color rgb="FF000000"/>
      </bottom>
      <diagonal/>
    </border>
    <border>
      <left style="dashDot">
        <color rgb="FF000000"/>
      </left>
      <right style="dashDot">
        <color rgb="FF000000"/>
      </right>
      <top style="dashed">
        <color rgb="FF000000"/>
      </top>
      <bottom style="dashed">
        <color rgb="FF000000"/>
      </bottom>
      <diagonal/>
    </border>
    <border>
      <left style="dashDot">
        <color rgb="FF000000"/>
      </left>
      <right/>
      <top style="dashed">
        <color rgb="FF000000"/>
      </top>
      <bottom style="dashed">
        <color rgb="FF000000"/>
      </bottom>
      <diagonal/>
    </border>
    <border>
      <left style="dotted">
        <color rgb="FF000000"/>
      </left>
      <right style="dashDot">
        <color rgb="FF000000"/>
      </right>
      <top style="dashed">
        <color rgb="FF000000"/>
      </top>
      <bottom style="thick">
        <color rgb="FF000000"/>
      </bottom>
      <diagonal/>
    </border>
    <border>
      <left style="dashDot">
        <color rgb="FF000000"/>
      </left>
      <right style="dashDot">
        <color rgb="FF000000"/>
      </right>
      <top style="dashed">
        <color rgb="FF000000"/>
      </top>
      <bottom style="thick">
        <color rgb="FF000000"/>
      </bottom>
      <diagonal/>
    </border>
    <border>
      <left style="dashDot">
        <color rgb="FF000000"/>
      </left>
      <right/>
      <top style="dashed">
        <color rgb="FF000000"/>
      </top>
      <bottom style="thick">
        <color rgb="FF000000"/>
      </bottom>
      <diagonal/>
    </border>
    <border>
      <left style="dashed">
        <color rgb="FF000000"/>
      </left>
      <right/>
      <top style="thick">
        <color rgb="FF000000"/>
      </top>
      <bottom style="thick">
        <color rgb="FF000000"/>
      </bottom>
      <diagonal/>
    </border>
    <border>
      <left style="dashed">
        <color rgb="FF000000"/>
      </left>
      <right/>
      <top style="thick">
        <color rgb="FF000000"/>
      </top>
      <bottom style="dotted">
        <color rgb="FF000000"/>
      </bottom>
      <diagonal/>
    </border>
    <border>
      <left style="dashed">
        <color rgb="FF000000"/>
      </left>
      <right/>
      <top/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tted">
        <color rgb="FF000000"/>
      </left>
      <right style="dotted">
        <color rgb="FF000000"/>
      </right>
      <top/>
      <bottom style="hair">
        <color rgb="FF000000"/>
      </bottom>
      <diagonal/>
    </border>
    <border>
      <left style="dotted">
        <color rgb="FF000000"/>
      </left>
      <right style="dashDot">
        <color rgb="FF000000"/>
      </right>
      <top/>
      <bottom style="dashed">
        <color rgb="FF000000"/>
      </bottom>
      <diagonal/>
    </border>
    <border>
      <left style="dashDot">
        <color rgb="FF000000"/>
      </left>
      <right style="dashDot">
        <color rgb="FF000000"/>
      </right>
      <top/>
      <bottom style="dashed">
        <color rgb="FF000000"/>
      </bottom>
      <diagonal/>
    </border>
    <border>
      <left style="dashDot">
        <color rgb="FF000000"/>
      </left>
      <right/>
      <top/>
      <bottom style="dashed">
        <color rgb="FF000000"/>
      </bottom>
      <diagonal/>
    </border>
    <border>
      <left style="dashed">
        <color rgb="FF000000"/>
      </left>
      <right/>
      <top style="thick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 tint="0.499984740745262"/>
      </top>
      <bottom style="thin">
        <color indexed="64"/>
      </bottom>
      <diagonal/>
    </border>
    <border>
      <left/>
      <right/>
      <top/>
      <bottom style="thick">
        <color rgb="FF000000"/>
      </bottom>
      <diagonal/>
    </border>
    <border>
      <left style="hair">
        <color rgb="FF000000"/>
      </left>
      <right style="hair">
        <color rgb="FF000000"/>
      </right>
      <top/>
      <bottom style="thick">
        <color rgb="FF000000"/>
      </bottom>
      <diagonal/>
    </border>
    <border>
      <left style="hair">
        <color rgb="FF000000"/>
      </left>
      <right style="medium">
        <color rgb="FFFFFFFF"/>
      </right>
      <top/>
      <bottom style="thick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/>
      <top/>
      <bottom style="dotted">
        <color rgb="FF000000"/>
      </bottom>
      <diagonal/>
    </border>
    <border>
      <left style="medium">
        <color rgb="FFFFFFFF"/>
      </left>
      <right/>
      <top style="dotted">
        <color rgb="FF000000"/>
      </top>
      <bottom/>
      <diagonal/>
    </border>
    <border>
      <left/>
      <right style="dotted">
        <color rgb="FF000000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rgb="FF000000"/>
      </bottom>
      <diagonal/>
    </border>
    <border>
      <left style="thin">
        <color indexed="64"/>
      </left>
      <right style="thin">
        <color indexed="64"/>
      </right>
      <top style="dotted">
        <color rgb="FF000000"/>
      </top>
      <bottom/>
      <diagonal/>
    </border>
    <border>
      <left style="thin">
        <color indexed="64"/>
      </left>
      <right style="thin">
        <color indexed="64"/>
      </right>
      <top style="thick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rgb="FF000000"/>
      </left>
      <right/>
      <top/>
      <bottom/>
      <diagonal/>
    </border>
    <border>
      <left style="dashDot">
        <color rgb="FF000000"/>
      </left>
      <right style="dashDot">
        <color rgb="FF000000"/>
      </right>
      <top style="dashed">
        <color rgb="FF000000"/>
      </top>
      <bottom/>
      <diagonal/>
    </border>
    <border>
      <left style="dashDot">
        <color rgb="FF000000"/>
      </left>
      <right style="dashDot">
        <color rgb="FF000000"/>
      </right>
      <top/>
      <bottom/>
      <diagonal/>
    </border>
    <border>
      <left/>
      <right style="dash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rgb="FFFFFFFF"/>
      </left>
      <right style="thin">
        <color indexed="64"/>
      </right>
      <top style="dotted">
        <color rgb="FF000000"/>
      </top>
      <bottom/>
      <diagonal/>
    </border>
    <border>
      <left style="medium">
        <color rgb="FFFFFFFF"/>
      </left>
      <right style="thin">
        <color indexed="64"/>
      </right>
      <top/>
      <bottom/>
      <diagonal/>
    </border>
    <border>
      <left style="medium">
        <color rgb="FFFFFFFF"/>
      </left>
      <right style="thin">
        <color indexed="64"/>
      </right>
      <top/>
      <bottom style="dashed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rgb="FFFFFFFF"/>
      </right>
      <top/>
      <bottom style="dotted">
        <color indexed="64"/>
      </bottom>
      <diagonal/>
    </border>
    <border>
      <left style="thin">
        <color indexed="64"/>
      </left>
      <right style="dotted">
        <color rgb="FF000000"/>
      </right>
      <top style="dotted">
        <color rgb="FF000000"/>
      </top>
      <bottom/>
      <diagonal/>
    </border>
    <border>
      <left style="thin">
        <color indexed="64"/>
      </left>
      <right style="dotted">
        <color rgb="FF000000"/>
      </right>
      <top/>
      <bottom style="thin">
        <color indexed="64"/>
      </bottom>
      <diagonal/>
    </border>
    <border>
      <left style="dotted">
        <color rgb="FF000000"/>
      </left>
      <right style="dotted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medium">
        <color rgb="FFFFFFFF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medium">
        <color rgb="FFFFFFFF"/>
      </left>
      <right/>
      <top/>
      <bottom style="thin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indexed="64"/>
      </bottom>
      <diagonal/>
    </border>
    <border>
      <left style="dotted">
        <color rgb="FF000000"/>
      </left>
      <right style="dotted">
        <color rgb="FF000000"/>
      </right>
      <top style="thick">
        <color rgb="FF000000"/>
      </top>
      <bottom style="medium">
        <color indexed="64"/>
      </bottom>
      <diagonal/>
    </border>
    <border>
      <left style="dotted">
        <color rgb="FF000000"/>
      </left>
      <right style="dotted">
        <color rgb="FF000000"/>
      </right>
      <top style="medium">
        <color indexed="64"/>
      </top>
      <bottom style="dotted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hair">
        <color rgb="FF000000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88">
    <xf numFmtId="0" fontId="0" fillId="0" borderId="0" xfId="0"/>
    <xf numFmtId="0" fontId="2" fillId="0" borderId="0" xfId="0" applyFont="1"/>
    <xf numFmtId="0" fontId="7" fillId="0" borderId="4" xfId="0" applyFont="1" applyBorder="1" applyAlignment="1">
      <alignment horizontal="center" vertical="center" wrapText="1" readingOrder="1"/>
    </xf>
    <xf numFmtId="0" fontId="7" fillId="0" borderId="14" xfId="0" applyFont="1" applyBorder="1" applyAlignment="1">
      <alignment horizontal="center" vertical="center" wrapText="1" readingOrder="1"/>
    </xf>
    <xf numFmtId="0" fontId="7" fillId="0" borderId="0" xfId="0" applyFont="1" applyAlignment="1">
      <alignment horizontal="center" vertical="center" readingOrder="1"/>
    </xf>
    <xf numFmtId="0" fontId="8" fillId="0" borderId="0" xfId="0" applyFont="1" applyAlignment="1">
      <alignment horizontal="left" vertical="center" readingOrder="1"/>
    </xf>
    <xf numFmtId="0" fontId="9" fillId="0" borderId="0" xfId="0" applyFont="1" applyAlignment="1">
      <alignment horizontal="left" vertical="center" readingOrder="1"/>
    </xf>
    <xf numFmtId="0" fontId="0" fillId="0" borderId="30" xfId="0" applyBorder="1"/>
    <xf numFmtId="0" fontId="7" fillId="0" borderId="9" xfId="0" applyFont="1" applyBorder="1" applyAlignment="1">
      <alignment horizontal="center" vertical="center" wrapText="1" readingOrder="1"/>
    </xf>
    <xf numFmtId="0" fontId="7" fillId="0" borderId="3" xfId="0" applyFont="1" applyBorder="1" applyAlignment="1">
      <alignment horizontal="center" vertical="center" wrapText="1" readingOrder="1"/>
    </xf>
    <xf numFmtId="0" fontId="4" fillId="0" borderId="0" xfId="0" applyFont="1" applyAlignment="1">
      <alignment horizontal="right" vertical="center" wrapText="1" indent="1"/>
    </xf>
    <xf numFmtId="0" fontId="15" fillId="0" borderId="5" xfId="0" applyFont="1" applyBorder="1" applyAlignment="1">
      <alignment horizontal="left" vertical="center" wrapText="1" indent="1" readingOrder="1"/>
    </xf>
    <xf numFmtId="0" fontId="13" fillId="0" borderId="11" xfId="0" applyFont="1" applyBorder="1" applyAlignment="1">
      <alignment horizontal="left" vertical="center" wrapText="1" indent="1" readingOrder="1"/>
    </xf>
    <xf numFmtId="0" fontId="12" fillId="0" borderId="11" xfId="0" applyFont="1" applyBorder="1" applyAlignment="1">
      <alignment horizontal="left" vertical="center" wrapText="1" indent="1" readingOrder="1"/>
    </xf>
    <xf numFmtId="0" fontId="13" fillId="0" borderId="15" xfId="0" applyFont="1" applyBorder="1" applyAlignment="1">
      <alignment horizontal="left" vertical="center" wrapText="1" indent="1" readingOrder="1"/>
    </xf>
    <xf numFmtId="0" fontId="12" fillId="0" borderId="15" xfId="0" applyFont="1" applyBorder="1" applyAlignment="1">
      <alignment horizontal="left" vertical="center" wrapText="1" indent="1" readingOrder="1"/>
    </xf>
    <xf numFmtId="0" fontId="13" fillId="0" borderId="5" xfId="0" applyFont="1" applyBorder="1" applyAlignment="1">
      <alignment horizontal="left" vertical="center" wrapText="1" indent="1" readingOrder="1"/>
    </xf>
    <xf numFmtId="0" fontId="12" fillId="0" borderId="5" xfId="0" applyFont="1" applyBorder="1" applyAlignment="1">
      <alignment horizontal="left" vertical="center" wrapText="1" indent="1" readingOrder="1"/>
    </xf>
    <xf numFmtId="0" fontId="12" fillId="0" borderId="6" xfId="0" applyFont="1" applyBorder="1" applyAlignment="1">
      <alignment horizontal="left" vertical="center" wrapText="1" indent="1" readingOrder="1"/>
    </xf>
    <xf numFmtId="0" fontId="12" fillId="0" borderId="1" xfId="0" applyFont="1" applyBorder="1" applyAlignment="1">
      <alignment horizontal="left" vertical="center" wrapText="1" indent="1" readingOrder="1"/>
    </xf>
    <xf numFmtId="0" fontId="18" fillId="0" borderId="5" xfId="0" applyFont="1" applyBorder="1" applyAlignment="1">
      <alignment horizontal="left" vertical="center" wrapText="1" indent="1" readingOrder="1"/>
    </xf>
    <xf numFmtId="0" fontId="18" fillId="0" borderId="11" xfId="0" applyFont="1" applyBorder="1" applyAlignment="1">
      <alignment horizontal="left" vertical="center" wrapText="1" indent="1" readingOrder="1"/>
    </xf>
    <xf numFmtId="0" fontId="12" fillId="0" borderId="27" xfId="0" applyFont="1" applyBorder="1" applyAlignment="1">
      <alignment horizontal="left" vertical="center" wrapText="1" indent="1" readingOrder="1"/>
    </xf>
    <xf numFmtId="0" fontId="12" fillId="0" borderId="7" xfId="0" applyFont="1" applyBorder="1" applyAlignment="1">
      <alignment horizontal="left" vertical="center" wrapText="1" indent="1" readingOrder="1"/>
    </xf>
    <xf numFmtId="0" fontId="13" fillId="0" borderId="6" xfId="0" applyFont="1" applyBorder="1" applyAlignment="1">
      <alignment horizontal="left" vertical="center" wrapText="1" indent="1" readingOrder="1"/>
    </xf>
    <xf numFmtId="0" fontId="13" fillId="0" borderId="1" xfId="0" applyFont="1" applyBorder="1" applyAlignment="1">
      <alignment horizontal="left" vertical="center" wrapText="1" indent="1" readingOrder="1"/>
    </xf>
    <xf numFmtId="0" fontId="7" fillId="0" borderId="36" xfId="0" applyFont="1" applyBorder="1" applyAlignment="1">
      <alignment horizontal="center" vertical="center" wrapText="1" readingOrder="1"/>
    </xf>
    <xf numFmtId="0" fontId="12" fillId="0" borderId="8" xfId="0" applyFont="1" applyBorder="1" applyAlignment="1">
      <alignment horizontal="left" vertical="center" wrapText="1" indent="1" readingOrder="1"/>
    </xf>
    <xf numFmtId="0" fontId="12" fillId="0" borderId="16" xfId="0" applyFont="1" applyBorder="1" applyAlignment="1">
      <alignment horizontal="left" vertical="center" wrapText="1" indent="1" readingOrder="1"/>
    </xf>
    <xf numFmtId="0" fontId="13" fillId="4" borderId="5" xfId="0" applyFont="1" applyFill="1" applyBorder="1" applyAlignment="1">
      <alignment horizontal="left" vertical="center" wrapText="1" indent="1" readingOrder="1"/>
    </xf>
    <xf numFmtId="0" fontId="12" fillId="4" borderId="5" xfId="0" applyFont="1" applyFill="1" applyBorder="1" applyAlignment="1">
      <alignment horizontal="left" vertical="center" wrapText="1" indent="1" readingOrder="1"/>
    </xf>
    <xf numFmtId="0" fontId="12" fillId="4" borderId="8" xfId="0" applyFont="1" applyFill="1" applyBorder="1" applyAlignment="1">
      <alignment horizontal="left" vertical="center" wrapText="1" indent="1" readingOrder="1"/>
    </xf>
    <xf numFmtId="0" fontId="13" fillId="4" borderId="11" xfId="0" applyFont="1" applyFill="1" applyBorder="1" applyAlignment="1">
      <alignment horizontal="left" vertical="center" wrapText="1" indent="1" readingOrder="1"/>
    </xf>
    <xf numFmtId="0" fontId="12" fillId="4" borderId="11" xfId="0" applyFont="1" applyFill="1" applyBorder="1" applyAlignment="1">
      <alignment horizontal="left" vertical="center" wrapText="1" indent="1" readingOrder="1"/>
    </xf>
    <xf numFmtId="0" fontId="12" fillId="0" borderId="13" xfId="0" applyFont="1" applyBorder="1" applyAlignment="1">
      <alignment horizontal="left" vertical="center" wrapText="1" indent="1" readingOrder="1"/>
    </xf>
    <xf numFmtId="0" fontId="14" fillId="0" borderId="5" xfId="0" applyFont="1" applyBorder="1" applyAlignment="1">
      <alignment horizontal="left" vertical="center" wrapText="1" readingOrder="1"/>
    </xf>
    <xf numFmtId="0" fontId="14" fillId="4" borderId="5" xfId="0" applyFont="1" applyFill="1" applyBorder="1" applyAlignment="1">
      <alignment horizontal="left" vertical="center" wrapText="1" readingOrder="1"/>
    </xf>
    <xf numFmtId="0" fontId="14" fillId="4" borderId="11" xfId="0" applyFont="1" applyFill="1" applyBorder="1" applyAlignment="1">
      <alignment horizontal="left" vertical="center" wrapText="1" readingOrder="1"/>
    </xf>
    <xf numFmtId="0" fontId="3" fillId="0" borderId="7" xfId="1" applyBorder="1" applyAlignment="1">
      <alignment horizontal="left" vertical="center" wrapText="1" readingOrder="1"/>
    </xf>
    <xf numFmtId="0" fontId="22" fillId="4" borderId="7" xfId="0" applyFont="1" applyFill="1" applyBorder="1" applyAlignment="1">
      <alignment horizontal="left" vertical="center" wrapText="1" readingOrder="1"/>
    </xf>
    <xf numFmtId="0" fontId="3" fillId="4" borderId="7" xfId="1" applyFill="1" applyBorder="1" applyAlignment="1">
      <alignment horizontal="left" vertical="center" wrapText="1" readingOrder="1"/>
    </xf>
    <xf numFmtId="0" fontId="4" fillId="0" borderId="7" xfId="0" applyFont="1" applyBorder="1" applyAlignment="1">
      <alignment vertical="center" wrapText="1"/>
    </xf>
    <xf numFmtId="0" fontId="3" fillId="4" borderId="13" xfId="1" applyFill="1" applyBorder="1" applyAlignment="1">
      <alignment horizontal="left" vertical="center" wrapText="1" readingOrder="1"/>
    </xf>
    <xf numFmtId="0" fontId="15" fillId="4" borderId="5" xfId="0" applyFont="1" applyFill="1" applyBorder="1" applyAlignment="1">
      <alignment horizontal="left" vertical="center" wrapText="1" indent="1" readingOrder="1"/>
    </xf>
    <xf numFmtId="0" fontId="15" fillId="4" borderId="11" xfId="0" applyFont="1" applyFill="1" applyBorder="1" applyAlignment="1">
      <alignment horizontal="left" vertical="center" wrapText="1" indent="1" readingOrder="1"/>
    </xf>
    <xf numFmtId="0" fontId="11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4" fillId="0" borderId="17" xfId="0" applyFont="1" applyBorder="1" applyAlignment="1">
      <alignment horizontal="center" vertical="center" wrapText="1" readingOrder="1"/>
    </xf>
    <xf numFmtId="0" fontId="24" fillId="0" borderId="33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/>
    </xf>
    <xf numFmtId="0" fontId="24" fillId="0" borderId="43" xfId="0" applyFont="1" applyBorder="1" applyAlignment="1">
      <alignment horizontal="center" vertical="center" wrapText="1" readingOrder="1"/>
    </xf>
    <xf numFmtId="0" fontId="24" fillId="0" borderId="44" xfId="0" applyFont="1" applyBorder="1" applyAlignment="1">
      <alignment horizontal="center" vertical="center" wrapText="1" readingOrder="1"/>
    </xf>
    <xf numFmtId="0" fontId="24" fillId="0" borderId="21" xfId="0" applyFont="1" applyBorder="1" applyAlignment="1">
      <alignment horizontal="center" vertical="center" wrapText="1" readingOrder="1"/>
    </xf>
    <xf numFmtId="0" fontId="24" fillId="0" borderId="11" xfId="0" applyFont="1" applyBorder="1" applyAlignment="1">
      <alignment horizontal="center" vertical="center" wrapText="1" readingOrder="1"/>
    </xf>
    <xf numFmtId="0" fontId="24" fillId="0" borderId="15" xfId="0" applyFont="1" applyBorder="1" applyAlignment="1">
      <alignment horizontal="center" vertical="center" wrapText="1" readingOrder="1"/>
    </xf>
    <xf numFmtId="0" fontId="24" fillId="0" borderId="48" xfId="0" applyFont="1" applyBorder="1" applyAlignment="1">
      <alignment horizontal="center" vertical="center" wrapText="1" readingOrder="1"/>
    </xf>
    <xf numFmtId="0" fontId="13" fillId="0" borderId="49" xfId="0" applyFont="1" applyBorder="1" applyAlignment="1">
      <alignment horizontal="left" vertical="center" wrapText="1" indent="1" readingOrder="1"/>
    </xf>
    <xf numFmtId="0" fontId="12" fillId="0" borderId="49" xfId="0" applyFont="1" applyBorder="1" applyAlignment="1">
      <alignment horizontal="left" vertical="center" wrapText="1" indent="1" readingOrder="1"/>
    </xf>
    <xf numFmtId="0" fontId="12" fillId="0" borderId="45" xfId="0" applyFont="1" applyBorder="1" applyAlignment="1">
      <alignment horizontal="left" vertical="center" wrapText="1" indent="1" readingOrder="1"/>
    </xf>
    <xf numFmtId="0" fontId="12" fillId="0" borderId="20" xfId="0" applyFont="1" applyBorder="1" applyAlignment="1">
      <alignment horizontal="left" vertical="center" indent="1" readingOrder="1"/>
    </xf>
    <xf numFmtId="0" fontId="12" fillId="0" borderId="46" xfId="0" applyFont="1" applyBorder="1" applyAlignment="1">
      <alignment horizontal="left" vertical="center" wrapText="1" indent="1" readingOrder="1"/>
    </xf>
    <xf numFmtId="0" fontId="12" fillId="0" borderId="47" xfId="0" applyFont="1" applyBorder="1" applyAlignment="1">
      <alignment horizontal="left" vertical="center" wrapText="1" indent="1" readingOrder="1"/>
    </xf>
    <xf numFmtId="0" fontId="18" fillId="0" borderId="47" xfId="0" applyFont="1" applyBorder="1" applyAlignment="1">
      <alignment horizontal="left" vertical="center" indent="1" readingOrder="1"/>
    </xf>
    <xf numFmtId="0" fontId="12" fillId="0" borderId="50" xfId="0" applyFont="1" applyBorder="1" applyAlignment="1">
      <alignment horizontal="left" vertical="center" wrapText="1" indent="1" readingOrder="1"/>
    </xf>
    <xf numFmtId="49" fontId="11" fillId="0" borderId="5" xfId="0" applyNumberFormat="1" applyFont="1" applyBorder="1" applyAlignment="1">
      <alignment horizontal="center" vertical="center"/>
    </xf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49" fontId="9" fillId="0" borderId="0" xfId="0" applyNumberFormat="1" applyFont="1" applyAlignment="1">
      <alignment horizontal="left" vertical="center" readingOrder="1"/>
    </xf>
    <xf numFmtId="49" fontId="13" fillId="0" borderId="15" xfId="0" applyNumberFormat="1" applyFont="1" applyBorder="1" applyAlignment="1">
      <alignment horizontal="center" vertical="center" wrapText="1" readingOrder="1"/>
    </xf>
    <xf numFmtId="49" fontId="13" fillId="4" borderId="5" xfId="0" applyNumberFormat="1" applyFont="1" applyFill="1" applyBorder="1" applyAlignment="1">
      <alignment horizontal="center" vertical="center" wrapText="1" readingOrder="1"/>
    </xf>
    <xf numFmtId="49" fontId="20" fillId="0" borderId="5" xfId="0" applyNumberFormat="1" applyFont="1" applyBorder="1"/>
    <xf numFmtId="49" fontId="13" fillId="0" borderId="5" xfId="0" applyNumberFormat="1" applyFont="1" applyBorder="1" applyAlignment="1">
      <alignment horizontal="center" vertical="center" wrapText="1" readingOrder="1"/>
    </xf>
    <xf numFmtId="49" fontId="13" fillId="4" borderId="11" xfId="0" applyNumberFormat="1" applyFont="1" applyFill="1" applyBorder="1" applyAlignment="1">
      <alignment horizontal="center" vertical="center" wrapText="1" readingOrder="1"/>
    </xf>
    <xf numFmtId="49" fontId="20" fillId="0" borderId="6" xfId="0" applyNumberFormat="1" applyFont="1" applyBorder="1"/>
    <xf numFmtId="49" fontId="13" fillId="0" borderId="11" xfId="0" applyNumberFormat="1" applyFont="1" applyBorder="1" applyAlignment="1">
      <alignment horizontal="center" vertical="center" wrapText="1" readingOrder="1"/>
    </xf>
    <xf numFmtId="49" fontId="20" fillId="0" borderId="1" xfId="0" applyNumberFormat="1" applyFont="1" applyBorder="1"/>
    <xf numFmtId="49" fontId="20" fillId="0" borderId="35" xfId="0" applyNumberFormat="1" applyFont="1" applyBorder="1"/>
    <xf numFmtId="49" fontId="13" fillId="4" borderId="63" xfId="0" applyNumberFormat="1" applyFont="1" applyFill="1" applyBorder="1" applyAlignment="1">
      <alignment horizontal="center" vertical="center" wrapText="1" readingOrder="1"/>
    </xf>
    <xf numFmtId="49" fontId="13" fillId="4" borderId="64" xfId="0" applyNumberFormat="1" applyFont="1" applyFill="1" applyBorder="1" applyAlignment="1">
      <alignment horizontal="center" vertical="center" wrapText="1" readingOrder="1"/>
    </xf>
    <xf numFmtId="0" fontId="7" fillId="0" borderId="65" xfId="0" applyFont="1" applyBorder="1" applyAlignment="1">
      <alignment horizontal="center" vertical="center" wrapText="1" readingOrder="1"/>
    </xf>
    <xf numFmtId="0" fontId="29" fillId="0" borderId="46" xfId="0" applyFont="1" applyBorder="1" applyAlignment="1">
      <alignment horizontal="left" vertical="center" wrapText="1" indent="4" readingOrder="1"/>
    </xf>
    <xf numFmtId="0" fontId="30" fillId="0" borderId="46" xfId="0" applyFont="1" applyBorder="1" applyAlignment="1">
      <alignment horizontal="left" vertical="center" wrapText="1" indent="4"/>
    </xf>
    <xf numFmtId="0" fontId="30" fillId="0" borderId="56" xfId="0" applyFont="1" applyBorder="1" applyAlignment="1">
      <alignment horizontal="left" vertical="top" wrapText="1" indent="4"/>
    </xf>
    <xf numFmtId="0" fontId="33" fillId="0" borderId="59" xfId="0" applyFont="1" applyBorder="1" applyAlignment="1">
      <alignment horizontal="center" vertical="center" wrapText="1" readingOrder="1"/>
    </xf>
    <xf numFmtId="0" fontId="25" fillId="0" borderId="53" xfId="0" applyFont="1" applyBorder="1" applyAlignment="1">
      <alignment horizontal="left" vertical="center" wrapText="1" indent="1" readingOrder="1"/>
    </xf>
    <xf numFmtId="0" fontId="25" fillId="0" borderId="53" xfId="0" applyFont="1" applyBorder="1" applyAlignment="1">
      <alignment horizontal="center" vertical="center" wrapText="1" readingOrder="1"/>
    </xf>
    <xf numFmtId="0" fontId="25" fillId="0" borderId="54" xfId="0" applyFont="1" applyBorder="1" applyAlignment="1">
      <alignment horizontal="left" vertical="center" wrapText="1" indent="1" readingOrder="1"/>
    </xf>
    <xf numFmtId="0" fontId="27" fillId="0" borderId="53" xfId="0" applyFont="1" applyBorder="1" applyAlignment="1">
      <alignment horizontal="left" vertical="center" wrapText="1" indent="1"/>
    </xf>
    <xf numFmtId="0" fontId="27" fillId="0" borderId="55" xfId="0" applyFont="1" applyBorder="1" applyAlignment="1">
      <alignment horizontal="left" vertical="center" wrapText="1" indent="1"/>
    </xf>
    <xf numFmtId="0" fontId="25" fillId="0" borderId="57" xfId="0" applyFont="1" applyBorder="1" applyAlignment="1">
      <alignment horizontal="left" vertical="center" wrapText="1" indent="1" readingOrder="1"/>
    </xf>
    <xf numFmtId="0" fontId="25" fillId="0" borderId="59" xfId="0" applyFont="1" applyBorder="1" applyAlignment="1">
      <alignment horizontal="left" vertical="center" wrapText="1" indent="1" readingOrder="1"/>
    </xf>
    <xf numFmtId="0" fontId="25" fillId="0" borderId="60" xfId="0" applyFont="1" applyBorder="1" applyAlignment="1">
      <alignment horizontal="left" vertical="center" wrapText="1" indent="1" readingOrder="1"/>
    </xf>
    <xf numFmtId="0" fontId="25" fillId="0" borderId="61" xfId="0" applyFont="1" applyBorder="1" applyAlignment="1">
      <alignment horizontal="left" vertical="center" wrapText="1" indent="1" readingOrder="1"/>
    </xf>
    <xf numFmtId="0" fontId="25" fillId="0" borderId="62" xfId="0" applyFont="1" applyBorder="1" applyAlignment="1">
      <alignment horizontal="left" vertical="center" wrapText="1" indent="1" readingOrder="1"/>
    </xf>
    <xf numFmtId="0" fontId="26" fillId="0" borderId="0" xfId="0" applyFont="1"/>
    <xf numFmtId="0" fontId="25" fillId="0" borderId="54" xfId="0" applyFont="1" applyBorder="1" applyAlignment="1">
      <alignment horizontal="center" vertical="center" wrapText="1" readingOrder="1"/>
    </xf>
    <xf numFmtId="0" fontId="25" fillId="7" borderId="54" xfId="0" applyFont="1" applyFill="1" applyBorder="1" applyAlignment="1">
      <alignment horizontal="center" vertical="center" wrapText="1" readingOrder="1"/>
    </xf>
    <xf numFmtId="0" fontId="25" fillId="0" borderId="57" xfId="0" applyFont="1" applyBorder="1" applyAlignment="1">
      <alignment horizontal="center" vertical="center" wrapText="1" readingOrder="1"/>
    </xf>
    <xf numFmtId="0" fontId="25" fillId="7" borderId="53" xfId="0" applyFont="1" applyFill="1" applyBorder="1" applyAlignment="1">
      <alignment horizontal="center" vertical="center" wrapText="1" readingOrder="1"/>
    </xf>
    <xf numFmtId="0" fontId="25" fillId="0" borderId="55" xfId="0" applyFont="1" applyBorder="1" applyAlignment="1">
      <alignment horizontal="center" vertical="center" wrapText="1" readingOrder="1"/>
    </xf>
    <xf numFmtId="0" fontId="25" fillId="0" borderId="60" xfId="0" applyFont="1" applyBorder="1" applyAlignment="1">
      <alignment horizontal="center" vertical="center" wrapText="1" readingOrder="1"/>
    </xf>
    <xf numFmtId="0" fontId="25" fillId="0" borderId="61" xfId="0" applyFont="1" applyBorder="1" applyAlignment="1">
      <alignment horizontal="center" vertical="center" wrapText="1" readingOrder="1"/>
    </xf>
    <xf numFmtId="0" fontId="25" fillId="0" borderId="62" xfId="0" applyFont="1" applyBorder="1" applyAlignment="1">
      <alignment horizontal="center" vertical="center" wrapText="1" readingOrder="1"/>
    </xf>
    <xf numFmtId="0" fontId="39" fillId="0" borderId="58" xfId="0" applyFont="1" applyBorder="1" applyAlignment="1">
      <alignment horizontal="center" vertical="center" wrapText="1" readingOrder="1"/>
    </xf>
    <xf numFmtId="0" fontId="29" fillId="0" borderId="71" xfId="0" applyFont="1" applyBorder="1" applyAlignment="1">
      <alignment horizontal="left" vertical="center" wrapText="1" indent="4" readingOrder="1"/>
    </xf>
    <xf numFmtId="0" fontId="25" fillId="0" borderId="67" xfId="0" applyFont="1" applyBorder="1" applyAlignment="1">
      <alignment horizontal="center" vertical="center" wrapText="1" readingOrder="1"/>
    </xf>
    <xf numFmtId="0" fontId="25" fillId="0" borderId="67" xfId="0" applyFont="1" applyBorder="1" applyAlignment="1">
      <alignment horizontal="left" vertical="center" wrapText="1" indent="1" readingOrder="1"/>
    </xf>
    <xf numFmtId="0" fontId="25" fillId="0" borderId="73" xfId="0" applyFont="1" applyBorder="1" applyAlignment="1">
      <alignment horizontal="center" vertical="center" wrapText="1" readingOrder="1"/>
    </xf>
    <xf numFmtId="0" fontId="25" fillId="0" borderId="73" xfId="0" applyFont="1" applyBorder="1" applyAlignment="1">
      <alignment horizontal="left" vertical="center" wrapText="1" indent="1" readingOrder="1"/>
    </xf>
    <xf numFmtId="0" fontId="29" fillId="0" borderId="74" xfId="0" applyFont="1" applyBorder="1" applyAlignment="1">
      <alignment horizontal="left" vertical="center" wrapText="1" indent="4" readingOrder="1"/>
    </xf>
    <xf numFmtId="0" fontId="25" fillId="0" borderId="76" xfId="0" applyFont="1" applyBorder="1" applyAlignment="1">
      <alignment horizontal="left" vertical="center" wrapText="1" indent="1" readingOrder="1"/>
    </xf>
    <xf numFmtId="0" fontId="29" fillId="0" borderId="77" xfId="0" applyFont="1" applyBorder="1" applyAlignment="1">
      <alignment horizontal="left" vertical="center" wrapText="1" indent="4" readingOrder="1"/>
    </xf>
    <xf numFmtId="0" fontId="29" fillId="0" borderId="79" xfId="0" applyFont="1" applyBorder="1" applyAlignment="1">
      <alignment horizontal="left" vertical="center" wrapText="1" indent="2" readingOrder="1"/>
    </xf>
    <xf numFmtId="0" fontId="29" fillId="0" borderId="71" xfId="0" applyFont="1" applyBorder="1" applyAlignment="1">
      <alignment horizontal="left" vertical="center" wrapText="1" indent="6" readingOrder="1"/>
    </xf>
    <xf numFmtId="0" fontId="29" fillId="0" borderId="71" xfId="0" applyFont="1" applyBorder="1" applyAlignment="1">
      <alignment horizontal="left" vertical="center" wrapText="1" indent="2" readingOrder="1"/>
    </xf>
    <xf numFmtId="0" fontId="29" fillId="0" borderId="56" xfId="0" applyFont="1" applyBorder="1" applyAlignment="1">
      <alignment horizontal="left" vertical="center" wrapText="1" indent="2" readingOrder="1"/>
    </xf>
    <xf numFmtId="0" fontId="29" fillId="0" borderId="56" xfId="0" applyFont="1" applyBorder="1" applyAlignment="1">
      <alignment horizontal="left" vertical="center" wrapText="1" indent="4" readingOrder="1"/>
    </xf>
    <xf numFmtId="0" fontId="30" fillId="0" borderId="79" xfId="0" applyFont="1" applyBorder="1" applyAlignment="1">
      <alignment horizontal="left" vertical="center" wrapText="1" indent="4"/>
    </xf>
    <xf numFmtId="0" fontId="30" fillId="0" borderId="56" xfId="0" applyFont="1" applyBorder="1" applyAlignment="1">
      <alignment horizontal="left" vertical="center" wrapText="1" indent="4"/>
    </xf>
    <xf numFmtId="0" fontId="30" fillId="0" borderId="78" xfId="0" applyFont="1" applyBorder="1" applyAlignment="1">
      <alignment horizontal="left" vertical="center" wrapText="1" indent="4"/>
    </xf>
    <xf numFmtId="0" fontId="29" fillId="0" borderId="20" xfId="0" applyFont="1" applyBorder="1" applyAlignment="1">
      <alignment horizontal="left" vertical="center" wrapText="1" indent="4" readingOrder="1"/>
    </xf>
    <xf numFmtId="0" fontId="29" fillId="0" borderId="56" xfId="0" applyFont="1" applyBorder="1" applyAlignment="1">
      <alignment horizontal="left" vertical="center" wrapText="1" indent="5" readingOrder="1"/>
    </xf>
    <xf numFmtId="0" fontId="13" fillId="0" borderId="23" xfId="0" applyFont="1" applyBorder="1" applyAlignment="1">
      <alignment horizontal="left" vertical="center" wrapText="1" indent="1" readingOrder="1"/>
    </xf>
    <xf numFmtId="0" fontId="12" fillId="0" borderId="23" xfId="0" applyFont="1" applyBorder="1" applyAlignment="1">
      <alignment horizontal="left" vertical="center" wrapText="1" indent="1" readingOrder="1"/>
    </xf>
    <xf numFmtId="0" fontId="12" fillId="0" borderId="2" xfId="0" applyFont="1" applyBorder="1" applyAlignment="1">
      <alignment horizontal="left" vertical="center" wrapText="1" indent="1" readingOrder="1"/>
    </xf>
    <xf numFmtId="0" fontId="41" fillId="2" borderId="81" xfId="0" applyFont="1" applyFill="1" applyBorder="1" applyAlignment="1">
      <alignment horizontal="center" vertical="center" wrapText="1" readingOrder="1"/>
    </xf>
    <xf numFmtId="0" fontId="42" fillId="2" borderId="81" xfId="0" applyFont="1" applyFill="1" applyBorder="1" applyAlignment="1">
      <alignment horizontal="center" vertical="center" wrapText="1" readingOrder="1"/>
    </xf>
    <xf numFmtId="0" fontId="6" fillId="3" borderId="81" xfId="0" applyFont="1" applyFill="1" applyBorder="1" applyAlignment="1">
      <alignment horizontal="center" vertical="center" wrapText="1" readingOrder="1"/>
    </xf>
    <xf numFmtId="0" fontId="5" fillId="2" borderId="82" xfId="0" applyFont="1" applyFill="1" applyBorder="1" applyAlignment="1">
      <alignment horizontal="center" vertical="center" wrapText="1" readingOrder="1"/>
    </xf>
    <xf numFmtId="0" fontId="6" fillId="2" borderId="82" xfId="0" applyFont="1" applyFill="1" applyBorder="1" applyAlignment="1">
      <alignment horizontal="center" vertical="center" wrapText="1" readingOrder="1"/>
    </xf>
    <xf numFmtId="0" fontId="6" fillId="3" borderId="82" xfId="0" applyFont="1" applyFill="1" applyBorder="1" applyAlignment="1">
      <alignment horizontal="center" vertical="center" wrapText="1" readingOrder="1"/>
    </xf>
    <xf numFmtId="0" fontId="41" fillId="2" borderId="82" xfId="0" applyFont="1" applyFill="1" applyBorder="1" applyAlignment="1">
      <alignment horizontal="center" vertical="center" wrapText="1" readingOrder="1"/>
    </xf>
    <xf numFmtId="0" fontId="42" fillId="2" borderId="82" xfId="0" applyFont="1" applyFill="1" applyBorder="1" applyAlignment="1">
      <alignment horizontal="center" vertical="center" wrapText="1" readingOrder="1"/>
    </xf>
    <xf numFmtId="49" fontId="13" fillId="0" borderId="1" xfId="0" applyNumberFormat="1" applyFont="1" applyBorder="1" applyAlignment="1">
      <alignment horizontal="center" vertical="center" wrapText="1" readingOrder="1"/>
    </xf>
    <xf numFmtId="0" fontId="15" fillId="0" borderId="1" xfId="0" applyFont="1" applyBorder="1" applyAlignment="1">
      <alignment horizontal="left" vertical="center" wrapText="1" indent="1" readingOrder="1"/>
    </xf>
    <xf numFmtId="0" fontId="14" fillId="0" borderId="1" xfId="0" applyFont="1" applyBorder="1" applyAlignment="1">
      <alignment horizontal="left" vertical="center" wrapText="1" readingOrder="1"/>
    </xf>
    <xf numFmtId="49" fontId="13" fillId="4" borderId="83" xfId="0" applyNumberFormat="1" applyFont="1" applyFill="1" applyBorder="1" applyAlignment="1">
      <alignment horizontal="center" vertical="center" wrapText="1" readingOrder="1"/>
    </xf>
    <xf numFmtId="0" fontId="3" fillId="0" borderId="2" xfId="1" applyBorder="1" applyAlignment="1">
      <alignment horizontal="left" vertical="center" wrapText="1" readingOrder="1"/>
    </xf>
    <xf numFmtId="0" fontId="43" fillId="0" borderId="0" xfId="0" applyFont="1"/>
    <xf numFmtId="0" fontId="35" fillId="6" borderId="85" xfId="0" applyFont="1" applyFill="1" applyBorder="1" applyAlignment="1">
      <alignment horizontal="center" vertical="center" wrapText="1" readingOrder="1"/>
    </xf>
    <xf numFmtId="0" fontId="25" fillId="0" borderId="85" xfId="0" applyFont="1" applyBorder="1" applyAlignment="1">
      <alignment horizontal="left" vertical="center" wrapText="1" indent="1" readingOrder="1"/>
    </xf>
    <xf numFmtId="0" fontId="29" fillId="0" borderId="86" xfId="0" applyFont="1" applyBorder="1" applyAlignment="1">
      <alignment horizontal="left" vertical="center" indent="4" readingOrder="1"/>
    </xf>
    <xf numFmtId="0" fontId="40" fillId="5" borderId="82" xfId="0" applyFont="1" applyFill="1" applyBorder="1" applyAlignment="1">
      <alignment horizontal="center" vertical="center" wrapText="1" readingOrder="1"/>
    </xf>
    <xf numFmtId="0" fontId="44" fillId="0" borderId="0" xfId="0" applyFont="1"/>
    <xf numFmtId="0" fontId="45" fillId="0" borderId="0" xfId="0" applyFont="1"/>
    <xf numFmtId="0" fontId="46" fillId="0" borderId="0" xfId="0" applyFont="1"/>
    <xf numFmtId="0" fontId="47" fillId="0" borderId="0" xfId="0" applyFont="1"/>
    <xf numFmtId="16" fontId="37" fillId="0" borderId="85" xfId="0" applyNumberFormat="1" applyFont="1" applyBorder="1" applyAlignment="1">
      <alignment horizontal="center" vertical="center" wrapText="1" readingOrder="1"/>
    </xf>
    <xf numFmtId="16" fontId="37" fillId="0" borderId="73" xfId="0" applyNumberFormat="1" applyFont="1" applyBorder="1" applyAlignment="1">
      <alignment horizontal="center" vertical="center" wrapText="1" readingOrder="1"/>
    </xf>
    <xf numFmtId="0" fontId="18" fillId="0" borderId="46" xfId="0" applyFont="1" applyBorder="1" applyAlignment="1">
      <alignment horizontal="left" vertical="center" wrapText="1" indent="1" readingOrder="1"/>
    </xf>
    <xf numFmtId="0" fontId="24" fillId="8" borderId="36" xfId="0" applyFont="1" applyFill="1" applyBorder="1" applyAlignment="1">
      <alignment horizontal="center" vertical="center"/>
    </xf>
    <xf numFmtId="0" fontId="13" fillId="8" borderId="11" xfId="0" applyFont="1" applyFill="1" applyBorder="1" applyAlignment="1">
      <alignment horizontal="left" vertical="center" wrapText="1" indent="1" readingOrder="1"/>
    </xf>
    <xf numFmtId="0" fontId="12" fillId="8" borderId="11" xfId="0" applyFont="1" applyFill="1" applyBorder="1" applyAlignment="1">
      <alignment horizontal="left" vertical="center" wrapText="1" indent="1" readingOrder="1"/>
    </xf>
    <xf numFmtId="49" fontId="13" fillId="8" borderId="11" xfId="0" applyNumberFormat="1" applyFont="1" applyFill="1" applyBorder="1" applyAlignment="1">
      <alignment horizontal="center" vertical="center" wrapText="1" readingOrder="1"/>
    </xf>
    <xf numFmtId="49" fontId="20" fillId="8" borderId="11" xfId="0" applyNumberFormat="1" applyFont="1" applyFill="1" applyBorder="1"/>
    <xf numFmtId="0" fontId="12" fillId="8" borderId="28" xfId="0" applyFont="1" applyFill="1" applyBorder="1" applyAlignment="1">
      <alignment horizontal="left" vertical="center" wrapText="1" indent="1" readingOrder="1"/>
    </xf>
    <xf numFmtId="0" fontId="50" fillId="0" borderId="0" xfId="0" applyFont="1"/>
    <xf numFmtId="0" fontId="50" fillId="9" borderId="0" xfId="0" applyFont="1" applyFill="1"/>
    <xf numFmtId="0" fontId="50" fillId="9" borderId="0" xfId="0" applyFont="1" applyFill="1" applyAlignment="1">
      <alignment vertical="center"/>
    </xf>
    <xf numFmtId="0" fontId="50" fillId="0" borderId="0" xfId="0" applyFont="1" applyAlignment="1">
      <alignment vertical="center"/>
    </xf>
    <xf numFmtId="0" fontId="50" fillId="9" borderId="81" xfId="0" applyFont="1" applyFill="1" applyBorder="1" applyAlignment="1">
      <alignment vertical="center" wrapText="1"/>
    </xf>
    <xf numFmtId="0" fontId="50" fillId="9" borderId="0" xfId="0" applyFont="1" applyFill="1" applyAlignment="1">
      <alignment vertical="center" wrapText="1"/>
    </xf>
    <xf numFmtId="0" fontId="50" fillId="0" borderId="0" xfId="0" applyFont="1" applyAlignment="1">
      <alignment vertical="center" wrapText="1"/>
    </xf>
    <xf numFmtId="0" fontId="11" fillId="9" borderId="81" xfId="0" applyFont="1" applyFill="1" applyBorder="1" applyAlignment="1">
      <alignment vertical="center" wrapText="1"/>
    </xf>
    <xf numFmtId="0" fontId="55" fillId="9" borderId="81" xfId="0" applyFont="1" applyFill="1" applyBorder="1" applyAlignment="1">
      <alignment horizontal="center" vertical="center"/>
    </xf>
    <xf numFmtId="0" fontId="55" fillId="9" borderId="81" xfId="0" applyFont="1" applyFill="1" applyBorder="1" applyAlignment="1">
      <alignment horizontal="center" vertical="center" wrapText="1"/>
    </xf>
    <xf numFmtId="164" fontId="50" fillId="9" borderId="81" xfId="0" applyNumberFormat="1" applyFont="1" applyFill="1" applyBorder="1" applyAlignment="1">
      <alignment horizontal="center" vertical="center" wrapText="1"/>
    </xf>
    <xf numFmtId="0" fontId="55" fillId="9" borderId="88" xfId="0" applyFont="1" applyFill="1" applyBorder="1" applyAlignment="1">
      <alignment vertical="center"/>
    </xf>
    <xf numFmtId="0" fontId="60" fillId="9" borderId="81" xfId="0" applyFont="1" applyFill="1" applyBorder="1" applyAlignment="1">
      <alignment horizontal="left" vertical="center" wrapText="1" indent="1"/>
    </xf>
    <xf numFmtId="0" fontId="1" fillId="12" borderId="81" xfId="0" applyFont="1" applyFill="1" applyBorder="1" applyAlignment="1">
      <alignment horizontal="center" vertical="center"/>
    </xf>
    <xf numFmtId="0" fontId="1" fillId="10" borderId="90" xfId="0" applyFont="1" applyFill="1" applyBorder="1" applyAlignment="1">
      <alignment horizontal="center"/>
    </xf>
    <xf numFmtId="0" fontId="10" fillId="0" borderId="0" xfId="0" applyFont="1" applyAlignment="1">
      <alignment horizontal="left" vertical="center" wrapText="1" indent="1" readingOrder="1"/>
    </xf>
    <xf numFmtId="0" fontId="1" fillId="10" borderId="0" xfId="0" applyFont="1" applyFill="1" applyAlignment="1">
      <alignment horizontal="center" vertical="center"/>
    </xf>
    <xf numFmtId="16" fontId="12" fillId="0" borderId="0" xfId="0" applyNumberFormat="1" applyFont="1" applyAlignment="1">
      <alignment horizontal="center" vertical="center" wrapText="1" readingOrder="1"/>
    </xf>
    <xf numFmtId="16" fontId="17" fillId="0" borderId="0" xfId="0" applyNumberFormat="1" applyFont="1" applyAlignment="1">
      <alignment horizontal="center" vertical="center" wrapText="1"/>
    </xf>
    <xf numFmtId="0" fontId="61" fillId="0" borderId="0" xfId="0" applyFont="1" applyAlignment="1">
      <alignment horizontal="left" vertical="center" wrapText="1" indent="1" readingOrder="1"/>
    </xf>
    <xf numFmtId="0" fontId="1" fillId="13" borderId="89" xfId="0" applyFont="1" applyFill="1" applyBorder="1" applyAlignment="1">
      <alignment horizontal="center" vertical="center"/>
    </xf>
    <xf numFmtId="0" fontId="1" fillId="14" borderId="89" xfId="0" applyFont="1" applyFill="1" applyBorder="1" applyAlignment="1">
      <alignment horizontal="center" vertical="center"/>
    </xf>
    <xf numFmtId="0" fontId="1" fillId="11" borderId="89" xfId="0" applyFont="1" applyFill="1" applyBorder="1" applyAlignment="1">
      <alignment horizontal="center" vertic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61" fillId="15" borderId="0" xfId="0" applyFont="1" applyFill="1" applyAlignment="1">
      <alignment horizontal="left" vertical="center" wrapText="1" indent="1" readingOrder="1"/>
    </xf>
    <xf numFmtId="0" fontId="63" fillId="17" borderId="0" xfId="0" applyFont="1" applyFill="1" applyAlignment="1">
      <alignment horizontal="center" vertical="center"/>
    </xf>
    <xf numFmtId="0" fontId="63" fillId="15" borderId="0" xfId="0" applyFont="1" applyFill="1" applyAlignment="1">
      <alignment horizontal="center" vertical="center"/>
    </xf>
    <xf numFmtId="0" fontId="63" fillId="20" borderId="0" xfId="0" applyFont="1" applyFill="1" applyAlignment="1">
      <alignment horizontal="center" vertical="center"/>
    </xf>
    <xf numFmtId="0" fontId="64" fillId="19" borderId="0" xfId="0" applyFont="1" applyFill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12" fillId="0" borderId="46" xfId="0" applyFont="1" applyBorder="1" applyAlignment="1">
      <alignment horizontal="left" vertical="center" wrapText="1" indent="1"/>
    </xf>
    <xf numFmtId="0" fontId="13" fillId="4" borderId="34" xfId="0" applyFont="1" applyFill="1" applyBorder="1" applyAlignment="1">
      <alignment horizontal="left" vertical="center" wrapText="1" indent="1" readingOrder="1"/>
    </xf>
    <xf numFmtId="49" fontId="13" fillId="0" borderId="23" xfId="0" applyNumberFormat="1" applyFont="1" applyBorder="1" applyAlignment="1">
      <alignment horizontal="center" vertical="center" wrapText="1" readingOrder="1"/>
    </xf>
    <xf numFmtId="0" fontId="21" fillId="0" borderId="47" xfId="0" applyFont="1" applyBorder="1" applyAlignment="1">
      <alignment horizontal="left" vertical="center" wrapText="1" indent="1"/>
    </xf>
    <xf numFmtId="0" fontId="7" fillId="0" borderId="22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11" fillId="9" borderId="46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 readingOrder="1"/>
    </xf>
    <xf numFmtId="0" fontId="21" fillId="8" borderId="1" xfId="0" applyFont="1" applyFill="1" applyBorder="1" applyAlignment="1">
      <alignment horizontal="left" vertical="center"/>
    </xf>
    <xf numFmtId="0" fontId="12" fillId="0" borderId="93" xfId="0" applyFont="1" applyBorder="1" applyAlignment="1">
      <alignment horizontal="left" vertical="center" wrapText="1" indent="1" readingOrder="1"/>
    </xf>
    <xf numFmtId="0" fontId="13" fillId="0" borderId="93" xfId="0" quotePrefix="1" applyFont="1" applyBorder="1" applyAlignment="1">
      <alignment horizontal="center" vertical="center" wrapText="1" readingOrder="1"/>
    </xf>
    <xf numFmtId="0" fontId="12" fillId="0" borderId="94" xfId="0" applyFont="1" applyBorder="1" applyAlignment="1">
      <alignment horizontal="left" vertical="center" wrapText="1" indent="1" readingOrder="1"/>
    </xf>
    <xf numFmtId="0" fontId="54" fillId="18" borderId="0" xfId="0" applyFont="1" applyFill="1" applyAlignment="1">
      <alignment horizontal="center" vertical="center"/>
    </xf>
    <xf numFmtId="165" fontId="54" fillId="0" borderId="0" xfId="0" applyNumberFormat="1" applyFont="1" applyAlignment="1">
      <alignment horizontal="center" vertical="center"/>
    </xf>
    <xf numFmtId="0" fontId="54" fillId="19" borderId="0" xfId="0" applyFont="1" applyFill="1" applyAlignment="1">
      <alignment horizontal="center" vertical="center"/>
    </xf>
    <xf numFmtId="0" fontId="67" fillId="16" borderId="91" xfId="0" applyFont="1" applyFill="1" applyBorder="1" applyAlignment="1">
      <alignment horizontal="center" vertical="center"/>
    </xf>
    <xf numFmtId="0" fontId="54" fillId="0" borderId="0" xfId="0" applyFont="1" applyAlignment="1">
      <alignment horizontal="center"/>
    </xf>
    <xf numFmtId="0" fontId="65" fillId="0" borderId="95" xfId="0" applyFont="1" applyBorder="1" applyAlignment="1">
      <alignment horizontal="center" vertical="center" wrapText="1" readingOrder="1"/>
    </xf>
    <xf numFmtId="0" fontId="65" fillId="0" borderId="96" xfId="0" applyFont="1" applyBorder="1" applyAlignment="1">
      <alignment horizontal="center" vertical="center" wrapText="1" readingOrder="1"/>
    </xf>
    <xf numFmtId="0" fontId="52" fillId="0" borderId="96" xfId="0" applyFont="1" applyBorder="1" applyAlignment="1">
      <alignment horizontal="center" vertical="center"/>
    </xf>
    <xf numFmtId="0" fontId="7" fillId="0" borderId="99" xfId="0" applyFont="1" applyBorder="1" applyAlignment="1">
      <alignment horizontal="center" vertical="center" wrapText="1" readingOrder="1"/>
    </xf>
    <xf numFmtId="0" fontId="13" fillId="0" borderId="17" xfId="0" applyFont="1" applyBorder="1" applyAlignment="1">
      <alignment horizontal="left" vertical="center" wrapText="1" indent="1" readingOrder="1"/>
    </xf>
    <xf numFmtId="0" fontId="13" fillId="0" borderId="44" xfId="0" applyFont="1" applyBorder="1" applyAlignment="1">
      <alignment horizontal="left" vertical="center" wrapText="1" indent="1" readingOrder="1"/>
    </xf>
    <xf numFmtId="0" fontId="24" fillId="0" borderId="102" xfId="0" applyFont="1" applyBorder="1" applyAlignment="1">
      <alignment horizontal="center" vertical="center" wrapText="1" readingOrder="1"/>
    </xf>
    <xf numFmtId="0" fontId="24" fillId="0" borderId="102" xfId="0" applyFont="1" applyBorder="1" applyAlignment="1">
      <alignment horizontal="center" vertical="center"/>
    </xf>
    <xf numFmtId="0" fontId="24" fillId="0" borderId="103" xfId="0" applyFont="1" applyBorder="1" applyAlignment="1">
      <alignment horizontal="center" vertical="center"/>
    </xf>
    <xf numFmtId="0" fontId="24" fillId="0" borderId="104" xfId="0" applyFont="1" applyBorder="1" applyAlignment="1">
      <alignment horizontal="center" vertical="center"/>
    </xf>
    <xf numFmtId="0" fontId="24" fillId="0" borderId="105" xfId="0" applyFont="1" applyBorder="1" applyAlignment="1">
      <alignment horizontal="center" vertical="center"/>
    </xf>
    <xf numFmtId="0" fontId="25" fillId="7" borderId="67" xfId="0" applyFont="1" applyFill="1" applyBorder="1" applyAlignment="1">
      <alignment horizontal="center" vertical="center" wrapText="1" readingOrder="1"/>
    </xf>
    <xf numFmtId="0" fontId="27" fillId="0" borderId="67" xfId="0" applyFont="1" applyBorder="1" applyAlignment="1">
      <alignment horizontal="left" vertical="center" wrapText="1" indent="1"/>
    </xf>
    <xf numFmtId="0" fontId="25" fillId="0" borderId="57" xfId="0" applyFont="1" applyBorder="1" applyAlignment="1">
      <alignment vertical="center" wrapText="1"/>
    </xf>
    <xf numFmtId="0" fontId="27" fillId="0" borderId="52" xfId="0" applyFont="1" applyBorder="1" applyAlignment="1">
      <alignment horizontal="left" vertical="center" wrapText="1" indent="1"/>
    </xf>
    <xf numFmtId="0" fontId="30" fillId="0" borderId="106" xfId="0" applyFont="1" applyBorder="1" applyAlignment="1">
      <alignment horizontal="left" vertical="center" wrapText="1" indent="4"/>
    </xf>
    <xf numFmtId="49" fontId="11" fillId="0" borderId="18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5" fillId="0" borderId="70" xfId="0" applyFont="1" applyBorder="1" applyAlignment="1">
      <alignment horizontal="center" vertical="center" wrapText="1" readingOrder="1"/>
    </xf>
    <xf numFmtId="0" fontId="25" fillId="0" borderId="66" xfId="0" applyFont="1" applyBorder="1" applyAlignment="1">
      <alignment horizontal="center" vertical="center" wrapText="1" readingOrder="1"/>
    </xf>
    <xf numFmtId="0" fontId="28" fillId="0" borderId="74" xfId="0" applyFont="1" applyBorder="1" applyAlignment="1">
      <alignment horizontal="center" vertical="center"/>
    </xf>
    <xf numFmtId="0" fontId="68" fillId="0" borderId="73" xfId="0" applyFont="1" applyBorder="1" applyAlignment="1">
      <alignment horizontal="center" vertical="center" wrapText="1"/>
    </xf>
    <xf numFmtId="16" fontId="68" fillId="0" borderId="76" xfId="0" applyNumberFormat="1" applyFont="1" applyBorder="1" applyAlignment="1">
      <alignment horizontal="center" vertical="center" wrapText="1"/>
    </xf>
    <xf numFmtId="0" fontId="68" fillId="0" borderId="67" xfId="0" applyFont="1" applyBorder="1" applyAlignment="1">
      <alignment horizontal="center" vertical="center" wrapText="1"/>
    </xf>
    <xf numFmtId="0" fontId="68" fillId="0" borderId="54" xfId="0" applyFont="1" applyBorder="1" applyAlignment="1">
      <alignment horizontal="center" vertical="center" wrapText="1"/>
    </xf>
    <xf numFmtId="16" fontId="68" fillId="0" borderId="54" xfId="0" applyNumberFormat="1" applyFont="1" applyBorder="1" applyAlignment="1">
      <alignment horizontal="center" vertical="center" wrapText="1"/>
    </xf>
    <xf numFmtId="16" fontId="68" fillId="0" borderId="55" xfId="0" applyNumberFormat="1" applyFont="1" applyBorder="1" applyAlignment="1">
      <alignment horizontal="center" vertical="center" wrapText="1"/>
    </xf>
    <xf numFmtId="0" fontId="68" fillId="0" borderId="53" xfId="0" applyFont="1" applyBorder="1" applyAlignment="1">
      <alignment horizontal="center" vertical="center" wrapText="1"/>
    </xf>
    <xf numFmtId="0" fontId="68" fillId="0" borderId="57" xfId="0" applyFont="1" applyBorder="1" applyAlignment="1">
      <alignment horizontal="center" vertical="center" wrapText="1"/>
    </xf>
    <xf numFmtId="16" fontId="68" fillId="0" borderId="53" xfId="0" applyNumberFormat="1" applyFont="1" applyBorder="1" applyAlignment="1">
      <alignment horizontal="center" vertical="center" wrapText="1"/>
    </xf>
    <xf numFmtId="0" fontId="68" fillId="0" borderId="52" xfId="0" applyFont="1" applyBorder="1" applyAlignment="1">
      <alignment horizontal="center" vertical="center" wrapText="1"/>
    </xf>
    <xf numFmtId="0" fontId="68" fillId="0" borderId="55" xfId="0" applyFont="1" applyBorder="1" applyAlignment="1">
      <alignment horizontal="center" vertical="center" wrapText="1"/>
    </xf>
    <xf numFmtId="0" fontId="68" fillId="0" borderId="60" xfId="0" applyFont="1" applyBorder="1" applyAlignment="1">
      <alignment horizontal="center" vertical="center" wrapText="1"/>
    </xf>
    <xf numFmtId="0" fontId="68" fillId="0" borderId="61" xfId="0" applyFont="1" applyBorder="1" applyAlignment="1">
      <alignment horizontal="center" vertical="center" wrapText="1"/>
    </xf>
    <xf numFmtId="0" fontId="68" fillId="0" borderId="62" xfId="0" applyFont="1" applyBorder="1" applyAlignment="1">
      <alignment horizontal="center" vertical="center" wrapText="1"/>
    </xf>
    <xf numFmtId="0" fontId="25" fillId="0" borderId="73" xfId="0" applyFont="1" applyBorder="1" applyAlignment="1">
      <alignment horizontal="left" vertical="center" wrapText="1"/>
    </xf>
    <xf numFmtId="16" fontId="68" fillId="0" borderId="73" xfId="0" applyNumberFormat="1" applyFont="1" applyBorder="1" applyAlignment="1">
      <alignment horizontal="center" vertical="center" wrapText="1"/>
    </xf>
    <xf numFmtId="0" fontId="36" fillId="0" borderId="85" xfId="0" applyFont="1" applyBorder="1" applyAlignment="1">
      <alignment horizontal="center" vertical="center" wrapText="1" readingOrder="1"/>
    </xf>
    <xf numFmtId="0" fontId="37" fillId="0" borderId="85" xfId="0" applyFont="1" applyBorder="1" applyAlignment="1">
      <alignment horizontal="center" vertical="center" wrapText="1" readingOrder="1"/>
    </xf>
    <xf numFmtId="0" fontId="36" fillId="0" borderId="73" xfId="0" applyFont="1" applyBorder="1" applyAlignment="1">
      <alignment horizontal="center" vertical="center" wrapText="1" readingOrder="1"/>
    </xf>
    <xf numFmtId="0" fontId="37" fillId="0" borderId="73" xfId="0" applyFont="1" applyBorder="1" applyAlignment="1">
      <alignment horizontal="center" vertical="center" wrapText="1" readingOrder="1"/>
    </xf>
    <xf numFmtId="0" fontId="37" fillId="0" borderId="76" xfId="0" applyFont="1" applyBorder="1" applyAlignment="1">
      <alignment horizontal="center" vertical="center" wrapText="1" readingOrder="1"/>
    </xf>
    <xf numFmtId="0" fontId="36" fillId="0" borderId="54" xfId="0" applyFont="1" applyBorder="1" applyAlignment="1">
      <alignment horizontal="center" vertical="center" wrapText="1" readingOrder="1"/>
    </xf>
    <xf numFmtId="0" fontId="37" fillId="0" borderId="54" xfId="0" applyFont="1" applyBorder="1" applyAlignment="1">
      <alignment horizontal="center" vertical="center" wrapText="1" readingOrder="1"/>
    </xf>
    <xf numFmtId="0" fontId="37" fillId="0" borderId="55" xfId="0" applyFont="1" applyBorder="1" applyAlignment="1">
      <alignment horizontal="center" vertical="center" wrapText="1" readingOrder="1"/>
    </xf>
    <xf numFmtId="0" fontId="36" fillId="0" borderId="53" xfId="0" applyFont="1" applyBorder="1" applyAlignment="1">
      <alignment horizontal="center" vertical="center" wrapText="1" readingOrder="1"/>
    </xf>
    <xf numFmtId="0" fontId="37" fillId="0" borderId="53" xfId="0" applyFont="1" applyBorder="1" applyAlignment="1">
      <alignment horizontal="center" vertical="center" wrapText="1" readingOrder="1"/>
    </xf>
    <xf numFmtId="0" fontId="36" fillId="0" borderId="67" xfId="0" applyFont="1" applyBorder="1" applyAlignment="1">
      <alignment horizontal="center" vertical="center" wrapText="1" readingOrder="1"/>
    </xf>
    <xf numFmtId="0" fontId="37" fillId="0" borderId="67" xfId="0" applyFont="1" applyBorder="1" applyAlignment="1">
      <alignment horizontal="center" vertical="center" wrapText="1" readingOrder="1"/>
    </xf>
    <xf numFmtId="0" fontId="36" fillId="7" borderId="54" xfId="0" applyFont="1" applyFill="1" applyBorder="1" applyAlignment="1">
      <alignment horizontal="center" vertical="center" wrapText="1" readingOrder="1"/>
    </xf>
    <xf numFmtId="0" fontId="36" fillId="0" borderId="55" xfId="0" applyFont="1" applyBorder="1" applyAlignment="1">
      <alignment horizontal="center" vertical="center" wrapText="1" readingOrder="1"/>
    </xf>
    <xf numFmtId="0" fontId="25" fillId="22" borderId="73" xfId="0" applyFont="1" applyFill="1" applyBorder="1" applyAlignment="1">
      <alignment horizontal="center" vertical="center" wrapText="1" readingOrder="1"/>
    </xf>
    <xf numFmtId="0" fontId="25" fillId="22" borderId="76" xfId="0" applyFont="1" applyFill="1" applyBorder="1" applyAlignment="1">
      <alignment horizontal="center" vertical="center" wrapText="1" readingOrder="1"/>
    </xf>
    <xf numFmtId="0" fontId="36" fillId="0" borderId="71" xfId="0" applyFont="1" applyBorder="1" applyAlignment="1">
      <alignment horizontal="center" vertical="center" wrapText="1" readingOrder="1"/>
    </xf>
    <xf numFmtId="0" fontId="25" fillId="0" borderId="109" xfId="0" applyFont="1" applyBorder="1" applyAlignment="1">
      <alignment horizontal="left" vertical="center" wrapText="1" indent="1" readingOrder="1"/>
    </xf>
    <xf numFmtId="0" fontId="68" fillId="0" borderId="66" xfId="0" applyFont="1" applyBorder="1" applyAlignment="1">
      <alignment horizontal="center" vertical="center" wrapText="1"/>
    </xf>
    <xf numFmtId="0" fontId="37" fillId="0" borderId="70" xfId="0" applyFont="1" applyBorder="1" applyAlignment="1">
      <alignment horizontal="center" vertical="center" wrapText="1" readingOrder="1"/>
    </xf>
    <xf numFmtId="0" fontId="37" fillId="0" borderId="66" xfId="0" applyFont="1" applyBorder="1" applyAlignment="1">
      <alignment horizontal="center" vertical="center" wrapText="1" readingOrder="1"/>
    </xf>
    <xf numFmtId="16" fontId="68" fillId="0" borderId="40" xfId="0" applyNumberFormat="1" applyFont="1" applyBorder="1" applyAlignment="1">
      <alignment horizontal="center" vertical="center" wrapText="1"/>
    </xf>
    <xf numFmtId="0" fontId="68" fillId="0" borderId="110" xfId="0" applyFont="1" applyBorder="1" applyAlignment="1">
      <alignment horizontal="center" vertical="center" wrapText="1"/>
    </xf>
    <xf numFmtId="17" fontId="13" fillId="0" borderId="38" xfId="0" quotePrefix="1" applyNumberFormat="1" applyFont="1" applyBorder="1" applyAlignment="1">
      <alignment horizontal="center" vertical="center" wrapText="1" readingOrder="1"/>
    </xf>
    <xf numFmtId="0" fontId="13" fillId="0" borderId="42" xfId="0" quotePrefix="1" applyFont="1" applyBorder="1" applyAlignment="1">
      <alignment horizontal="center" vertical="center" wrapText="1" readingOrder="1"/>
    </xf>
    <xf numFmtId="0" fontId="8" fillId="0" borderId="49" xfId="0" applyFont="1" applyBorder="1" applyAlignment="1">
      <alignment horizontal="left" vertical="center" wrapText="1" indent="1" readingOrder="1"/>
    </xf>
    <xf numFmtId="0" fontId="9" fillId="0" borderId="49" xfId="0" applyFont="1" applyBorder="1" applyAlignment="1">
      <alignment horizontal="left" vertical="center" wrapText="1" indent="1" readingOrder="1"/>
    </xf>
    <xf numFmtId="49" fontId="50" fillId="0" borderId="26" xfId="0" applyNumberFormat="1" applyFont="1" applyBorder="1" applyAlignment="1">
      <alignment horizontal="center" vertical="center"/>
    </xf>
    <xf numFmtId="49" fontId="50" fillId="0" borderId="1" xfId="0" applyNumberFormat="1" applyFont="1" applyBorder="1" applyAlignment="1">
      <alignment horizontal="center" vertical="center"/>
    </xf>
    <xf numFmtId="49" fontId="50" fillId="0" borderId="5" xfId="0" applyNumberFormat="1" applyFont="1" applyBorder="1" applyAlignment="1">
      <alignment horizontal="center" vertical="center"/>
    </xf>
    <xf numFmtId="49" fontId="50" fillId="0" borderId="11" xfId="0" applyNumberFormat="1" applyFont="1" applyBorder="1" applyAlignment="1">
      <alignment horizontal="center" vertical="center"/>
    </xf>
    <xf numFmtId="49" fontId="32" fillId="0" borderId="5" xfId="0" applyNumberFormat="1" applyFont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49" fontId="50" fillId="0" borderId="15" xfId="0" applyNumberFormat="1" applyFont="1" applyBorder="1" applyAlignment="1">
      <alignment horizontal="center" vertical="center"/>
    </xf>
    <xf numFmtId="49" fontId="50" fillId="0" borderId="49" xfId="0" applyNumberFormat="1" applyFont="1" applyBorder="1" applyAlignment="1">
      <alignment horizontal="center" vertical="center"/>
    </xf>
    <xf numFmtId="0" fontId="71" fillId="0" borderId="0" xfId="0" applyFont="1" applyAlignment="1">
      <alignment horizontal="center" vertical="center" readingOrder="1"/>
    </xf>
    <xf numFmtId="49" fontId="32" fillId="8" borderId="5" xfId="0" applyNumberFormat="1" applyFont="1" applyFill="1" applyBorder="1" applyAlignment="1">
      <alignment horizontal="center" vertical="center"/>
    </xf>
    <xf numFmtId="49" fontId="32" fillId="0" borderId="11" xfId="0" applyNumberFormat="1" applyFont="1" applyBorder="1" applyAlignment="1">
      <alignment horizontal="center" vertical="center"/>
    </xf>
    <xf numFmtId="49" fontId="32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horizontal="left" vertical="center" wrapText="1" indent="1" readingOrder="1"/>
    </xf>
    <xf numFmtId="49" fontId="11" fillId="0" borderId="0" xfId="0" applyNumberFormat="1" applyFont="1" applyAlignment="1">
      <alignment horizontal="center" vertical="center"/>
    </xf>
    <xf numFmtId="49" fontId="11" fillId="0" borderId="122" xfId="0" applyNumberFormat="1" applyFont="1" applyBorder="1" applyAlignment="1">
      <alignment horizontal="center" vertical="center"/>
    </xf>
    <xf numFmtId="49" fontId="11" fillId="0" borderId="120" xfId="0" applyNumberFormat="1" applyFont="1" applyBorder="1" applyAlignment="1">
      <alignment horizontal="center" vertical="center"/>
    </xf>
    <xf numFmtId="0" fontId="9" fillId="0" borderId="120" xfId="0" applyFont="1" applyBorder="1" applyAlignment="1">
      <alignment horizontal="left" vertical="center" readingOrder="1"/>
    </xf>
    <xf numFmtId="0" fontId="9" fillId="0" borderId="114" xfId="0" applyFont="1" applyBorder="1" applyAlignment="1">
      <alignment horizontal="left" vertical="center" wrapText="1" indent="1" readingOrder="1"/>
    </xf>
    <xf numFmtId="0" fontId="9" fillId="0" borderId="121" xfId="0" applyFont="1" applyBorder="1" applyAlignment="1">
      <alignment horizontal="left" vertical="center" wrapText="1" indent="1" readingOrder="1"/>
    </xf>
    <xf numFmtId="0" fontId="7" fillId="0" borderId="123" xfId="0" applyFont="1" applyBorder="1" applyAlignment="1">
      <alignment horizontal="center" vertical="center" wrapText="1" readingOrder="1"/>
    </xf>
    <xf numFmtId="0" fontId="8" fillId="0" borderId="124" xfId="0" applyFont="1" applyBorder="1" applyAlignment="1">
      <alignment horizontal="left" vertical="center" wrapText="1" indent="1" readingOrder="1"/>
    </xf>
    <xf numFmtId="0" fontId="7" fillId="0" borderId="125" xfId="0" applyFont="1" applyBorder="1" applyAlignment="1">
      <alignment horizontal="center" vertical="center" wrapText="1" readingOrder="1"/>
    </xf>
    <xf numFmtId="0" fontId="8" fillId="0" borderId="119" xfId="0" applyFont="1" applyBorder="1" applyAlignment="1">
      <alignment horizontal="left" vertical="center" wrapText="1" indent="1" readingOrder="1"/>
    </xf>
    <xf numFmtId="0" fontId="9" fillId="0" borderId="119" xfId="0" applyFont="1" applyBorder="1" applyAlignment="1">
      <alignment horizontal="left" vertical="center" wrapText="1" indent="1" readingOrder="1"/>
    </xf>
    <xf numFmtId="0" fontId="12" fillId="0" borderId="127" xfId="0" applyFont="1" applyBorder="1" applyAlignment="1">
      <alignment horizontal="left" vertical="center" wrapText="1" indent="1" readingOrder="1"/>
    </xf>
    <xf numFmtId="0" fontId="17" fillId="0" borderId="128" xfId="0" applyFont="1" applyBorder="1" applyAlignment="1">
      <alignment horizontal="left" vertical="center" wrapText="1" indent="1"/>
    </xf>
    <xf numFmtId="0" fontId="24" fillId="0" borderId="0" xfId="0" applyFont="1" applyAlignment="1">
      <alignment horizontal="center" vertical="center" wrapText="1" readingOrder="1"/>
    </xf>
    <xf numFmtId="0" fontId="73" fillId="0" borderId="0" xfId="0" applyFont="1" applyAlignment="1">
      <alignment horizontal="center" vertical="center" readingOrder="1"/>
    </xf>
    <xf numFmtId="0" fontId="24" fillId="0" borderId="129" xfId="0" applyFont="1" applyBorder="1" applyAlignment="1">
      <alignment horizontal="center" vertical="center"/>
    </xf>
    <xf numFmtId="0" fontId="13" fillId="0" borderId="130" xfId="0" applyFont="1" applyBorder="1" applyAlignment="1">
      <alignment horizontal="left" vertical="center" wrapText="1" indent="1" readingOrder="1"/>
    </xf>
    <xf numFmtId="0" fontId="0" fillId="0" borderId="0" xfId="0" applyAlignment="1">
      <alignment horizontal="left" wrapText="1" indent="2"/>
    </xf>
    <xf numFmtId="0" fontId="74" fillId="0" borderId="131" xfId="0" applyFont="1" applyBorder="1" applyAlignment="1">
      <alignment horizontal="center" vertical="center" wrapText="1" readingOrder="1"/>
    </xf>
    <xf numFmtId="0" fontId="12" fillId="0" borderId="24" xfId="0" applyFont="1" applyBorder="1" applyAlignment="1">
      <alignment horizontal="left" vertical="center" wrapText="1" indent="1" readingOrder="1"/>
    </xf>
    <xf numFmtId="0" fontId="24" fillId="0" borderId="90" xfId="0" applyFont="1" applyBorder="1" applyAlignment="1">
      <alignment horizontal="center" vertical="center"/>
    </xf>
    <xf numFmtId="0" fontId="7" fillId="0" borderId="97" xfId="0" applyFont="1" applyBorder="1" applyAlignment="1">
      <alignment horizontal="center" vertical="center" wrapText="1" readingOrder="1"/>
    </xf>
    <xf numFmtId="0" fontId="13" fillId="0" borderId="19" xfId="0" applyFont="1" applyBorder="1" applyAlignment="1">
      <alignment horizontal="left" vertical="center" wrapText="1" indent="1" readingOrder="1"/>
    </xf>
    <xf numFmtId="0" fontId="11" fillId="0" borderId="37" xfId="0" applyFont="1" applyBorder="1" applyAlignment="1">
      <alignment horizontal="center" vertical="center"/>
    </xf>
    <xf numFmtId="49" fontId="11" fillId="0" borderId="37" xfId="0" applyNumberFormat="1" applyFont="1" applyBorder="1" applyAlignment="1">
      <alignment horizontal="center" vertical="center"/>
    </xf>
    <xf numFmtId="0" fontId="81" fillId="0" borderId="0" xfId="0" applyFont="1"/>
    <xf numFmtId="0" fontId="81" fillId="0" borderId="0" xfId="0" applyFont="1" applyAlignment="1">
      <alignment wrapText="1"/>
    </xf>
    <xf numFmtId="16" fontId="14" fillId="0" borderId="134" xfId="0" applyNumberFormat="1" applyFont="1" applyBorder="1" applyAlignment="1">
      <alignment horizontal="center" vertical="center"/>
    </xf>
    <xf numFmtId="16" fontId="15" fillId="0" borderId="134" xfId="0" applyNumberFormat="1" applyFont="1" applyBorder="1" applyAlignment="1">
      <alignment horizontal="center" vertical="center"/>
    </xf>
    <xf numFmtId="0" fontId="14" fillId="0" borderId="134" xfId="0" applyFont="1" applyBorder="1" applyAlignment="1">
      <alignment horizontal="center" vertical="center"/>
    </xf>
    <xf numFmtId="0" fontId="15" fillId="0" borderId="134" xfId="0" applyFont="1" applyBorder="1" applyAlignment="1">
      <alignment horizontal="center" vertical="center"/>
    </xf>
    <xf numFmtId="16" fontId="14" fillId="24" borderId="134" xfId="0" applyNumberFormat="1" applyFont="1" applyFill="1" applyBorder="1" applyAlignment="1">
      <alignment horizontal="center" vertical="center"/>
    </xf>
    <xf numFmtId="0" fontId="15" fillId="24" borderId="134" xfId="0" applyFont="1" applyFill="1" applyBorder="1" applyAlignment="1">
      <alignment horizontal="center" vertical="center" wrapText="1" readingOrder="1"/>
    </xf>
    <xf numFmtId="16" fontId="14" fillId="0" borderId="134" xfId="0" applyNumberFormat="1" applyFont="1" applyBorder="1" applyAlignment="1">
      <alignment horizontal="center" vertical="center" wrapText="1" readingOrder="1"/>
    </xf>
    <xf numFmtId="0" fontId="15" fillId="0" borderId="134" xfId="0" applyFont="1" applyBorder="1" applyAlignment="1">
      <alignment horizontal="center" vertical="center" wrapText="1" readingOrder="1"/>
    </xf>
    <xf numFmtId="0" fontId="14" fillId="0" borderId="133" xfId="0" applyFont="1" applyBorder="1" applyAlignment="1">
      <alignment horizontal="center" vertical="center"/>
    </xf>
    <xf numFmtId="16" fontId="14" fillId="25" borderId="134" xfId="0" applyNumberFormat="1" applyFont="1" applyFill="1" applyBorder="1" applyAlignment="1">
      <alignment horizontal="center" vertical="center"/>
    </xf>
    <xf numFmtId="0" fontId="15" fillId="25" borderId="134" xfId="0" applyFont="1" applyFill="1" applyBorder="1" applyAlignment="1">
      <alignment horizontal="center" vertical="center"/>
    </xf>
    <xf numFmtId="0" fontId="14" fillId="0" borderId="134" xfId="0" applyFont="1" applyBorder="1" applyAlignment="1">
      <alignment horizontal="center" vertical="center" readingOrder="1"/>
    </xf>
    <xf numFmtId="0" fontId="14" fillId="0" borderId="134" xfId="0" applyFont="1" applyBorder="1" applyAlignment="1">
      <alignment horizontal="center" vertical="center" wrapText="1" readingOrder="1"/>
    </xf>
    <xf numFmtId="0" fontId="14" fillId="24" borderId="134" xfId="0" applyFont="1" applyFill="1" applyBorder="1" applyAlignment="1">
      <alignment horizontal="center" vertical="center" wrapText="1" readingOrder="1"/>
    </xf>
    <xf numFmtId="0" fontId="14" fillId="25" borderId="134" xfId="0" applyFont="1" applyFill="1" applyBorder="1" applyAlignment="1">
      <alignment horizontal="center" vertical="center" wrapText="1" readingOrder="1"/>
    </xf>
    <xf numFmtId="0" fontId="15" fillId="0" borderId="134" xfId="0" applyFont="1" applyBorder="1" applyAlignment="1">
      <alignment horizontal="center" vertical="center" readingOrder="1"/>
    </xf>
    <xf numFmtId="0" fontId="14" fillId="0" borderId="132" xfId="0" applyFont="1" applyBorder="1" applyAlignment="1">
      <alignment horizontal="center" vertical="center" wrapText="1" readingOrder="1"/>
    </xf>
    <xf numFmtId="0" fontId="81" fillId="0" borderId="0" xfId="0" applyFont="1" applyAlignment="1">
      <alignment horizontal="center" vertical="center"/>
    </xf>
    <xf numFmtId="0" fontId="6" fillId="23" borderId="95" xfId="0" applyFont="1" applyFill="1" applyBorder="1" applyAlignment="1">
      <alignment horizontal="center" vertical="center" wrapText="1" readingOrder="1"/>
    </xf>
    <xf numFmtId="0" fontId="76" fillId="0" borderId="132" xfId="0" applyFont="1" applyBorder="1" applyAlignment="1">
      <alignment horizontal="center" vertical="center"/>
    </xf>
    <xf numFmtId="0" fontId="76" fillId="0" borderId="134" xfId="0" applyFont="1" applyBorder="1" applyAlignment="1">
      <alignment horizontal="center" vertical="center"/>
    </xf>
    <xf numFmtId="0" fontId="76" fillId="0" borderId="134" xfId="0" applyFont="1" applyBorder="1" applyAlignment="1">
      <alignment horizontal="center" vertical="center" wrapText="1" readingOrder="1"/>
    </xf>
    <xf numFmtId="0" fontId="76" fillId="24" borderId="134" xfId="0" applyFont="1" applyFill="1" applyBorder="1" applyAlignment="1">
      <alignment horizontal="center" vertical="center"/>
    </xf>
    <xf numFmtId="0" fontId="76" fillId="25" borderId="134" xfId="0" applyFont="1" applyFill="1" applyBorder="1" applyAlignment="1">
      <alignment horizontal="center" vertical="center"/>
    </xf>
    <xf numFmtId="0" fontId="6" fillId="23" borderId="90" xfId="0" applyFont="1" applyFill="1" applyBorder="1" applyAlignment="1">
      <alignment horizontal="center" vertical="center" wrapText="1" readingOrder="1"/>
    </xf>
    <xf numFmtId="0" fontId="74" fillId="0" borderId="133" xfId="0" applyFont="1" applyBorder="1" applyAlignment="1">
      <alignment horizontal="center" vertical="center" wrapText="1" readingOrder="1"/>
    </xf>
    <xf numFmtId="0" fontId="74" fillId="0" borderId="133" xfId="0" applyFont="1" applyBorder="1" applyAlignment="1">
      <alignment horizontal="center" vertical="center"/>
    </xf>
    <xf numFmtId="0" fontId="15" fillId="0" borderId="134" xfId="0" applyFont="1" applyBorder="1" applyAlignment="1">
      <alignment vertical="center" wrapText="1"/>
    </xf>
    <xf numFmtId="0" fontId="81" fillId="0" borderId="0" xfId="0" applyFont="1" applyAlignment="1">
      <alignment horizontal="left" vertical="center"/>
    </xf>
    <xf numFmtId="0" fontId="15" fillId="0" borderId="132" xfId="0" applyFont="1" applyBorder="1" applyAlignment="1">
      <alignment horizontal="left" vertical="center" wrapText="1" readingOrder="1"/>
    </xf>
    <xf numFmtId="0" fontId="15" fillId="0" borderId="134" xfId="0" applyFont="1" applyBorder="1" applyAlignment="1">
      <alignment horizontal="left" vertical="center" wrapText="1" readingOrder="1"/>
    </xf>
    <xf numFmtId="0" fontId="15" fillId="24" borderId="134" xfId="0" applyFont="1" applyFill="1" applyBorder="1" applyAlignment="1">
      <alignment horizontal="left" vertical="center" wrapText="1" readingOrder="1"/>
    </xf>
    <xf numFmtId="0" fontId="15" fillId="0" borderId="134" xfId="0" applyFont="1" applyBorder="1" applyAlignment="1">
      <alignment horizontal="left" vertical="center" wrapText="1"/>
    </xf>
    <xf numFmtId="0" fontId="15" fillId="25" borderId="134" xfId="0" applyFont="1" applyFill="1" applyBorder="1" applyAlignment="1">
      <alignment horizontal="left" vertical="center"/>
    </xf>
    <xf numFmtId="0" fontId="15" fillId="25" borderId="134" xfId="0" applyFont="1" applyFill="1" applyBorder="1" applyAlignment="1">
      <alignment horizontal="left" vertical="center" wrapText="1" readingOrder="1"/>
    </xf>
    <xf numFmtId="0" fontId="0" fillId="0" borderId="0" xfId="0" applyAlignment="1">
      <alignment horizontal="left" vertical="center"/>
    </xf>
    <xf numFmtId="0" fontId="81" fillId="0" borderId="0" xfId="0" applyFont="1" applyAlignment="1">
      <alignment vertical="center" wrapText="1"/>
    </xf>
    <xf numFmtId="0" fontId="14" fillId="0" borderId="132" xfId="0" applyFont="1" applyBorder="1" applyAlignment="1">
      <alignment vertical="center" wrapText="1" readingOrder="1"/>
    </xf>
    <xf numFmtId="0" fontId="14" fillId="0" borderId="134" xfId="0" applyFont="1" applyBorder="1" applyAlignment="1">
      <alignment vertical="center" wrapText="1" readingOrder="1"/>
    </xf>
    <xf numFmtId="0" fontId="14" fillId="24" borderId="134" xfId="0" applyFont="1" applyFill="1" applyBorder="1" applyAlignment="1">
      <alignment vertical="center" wrapText="1" readingOrder="1"/>
    </xf>
    <xf numFmtId="0" fontId="14" fillId="0" borderId="134" xfId="0" applyFont="1" applyBorder="1" applyAlignment="1">
      <alignment vertical="center" wrapText="1"/>
    </xf>
    <xf numFmtId="0" fontId="76" fillId="0" borderId="134" xfId="0" applyFont="1" applyBorder="1" applyAlignment="1">
      <alignment vertical="center" wrapText="1"/>
    </xf>
    <xf numFmtId="0" fontId="14" fillId="25" borderId="134" xfId="0" applyFont="1" applyFill="1" applyBorder="1" applyAlignment="1">
      <alignment vertical="center" wrapText="1" readingOrder="1"/>
    </xf>
    <xf numFmtId="0" fontId="77" fillId="0" borderId="134" xfId="0" applyFont="1" applyBorder="1" applyAlignment="1">
      <alignment vertical="center" wrapText="1" readingOrder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5" fillId="0" borderId="132" xfId="0" applyFont="1" applyBorder="1" applyAlignment="1">
      <alignment vertical="center" wrapText="1" readingOrder="1"/>
    </xf>
    <xf numFmtId="0" fontId="15" fillId="0" borderId="132" xfId="0" applyFont="1" applyBorder="1" applyAlignment="1">
      <alignment vertical="center" wrapText="1"/>
    </xf>
    <xf numFmtId="0" fontId="15" fillId="24" borderId="132" xfId="0" applyFont="1" applyFill="1" applyBorder="1" applyAlignment="1">
      <alignment vertical="center" wrapText="1" readingOrder="1"/>
    </xf>
    <xf numFmtId="0" fontId="15" fillId="24" borderId="134" xfId="0" applyFont="1" applyFill="1" applyBorder="1" applyAlignment="1">
      <alignment vertical="center" wrapText="1" readingOrder="1"/>
    </xf>
    <xf numFmtId="0" fontId="0" fillId="0" borderId="0" xfId="0" applyAlignment="1">
      <alignment horizontal="left" vertical="center" wrapText="1"/>
    </xf>
    <xf numFmtId="0" fontId="15" fillId="0" borderId="134" xfId="0" applyFont="1" applyBorder="1" applyAlignment="1">
      <alignment vertical="center" wrapText="1" readingOrder="1"/>
    </xf>
    <xf numFmtId="0" fontId="14" fillId="24" borderId="134" xfId="0" applyFont="1" applyFill="1" applyBorder="1" applyAlignment="1">
      <alignment vertical="center" wrapText="1"/>
    </xf>
    <xf numFmtId="0" fontId="3" fillId="0" borderId="134" xfId="1" applyBorder="1" applyAlignment="1">
      <alignment vertical="center" wrapText="1" readingOrder="1"/>
    </xf>
    <xf numFmtId="0" fontId="3" fillId="24" borderId="134" xfId="1" applyFill="1" applyBorder="1" applyAlignment="1">
      <alignment vertical="center" wrapText="1" readingOrder="1"/>
    </xf>
    <xf numFmtId="0" fontId="79" fillId="24" borderId="134" xfId="0" applyFont="1" applyFill="1" applyBorder="1" applyAlignment="1">
      <alignment vertical="center" wrapText="1" readingOrder="1"/>
    </xf>
    <xf numFmtId="0" fontId="1" fillId="0" borderId="0" xfId="0" applyFont="1" applyAlignment="1">
      <alignment vertical="center"/>
    </xf>
    <xf numFmtId="16" fontId="14" fillId="0" borderId="132" xfId="0" applyNumberFormat="1" applyFont="1" applyBorder="1" applyAlignment="1">
      <alignment horizontal="center" vertical="center"/>
    </xf>
    <xf numFmtId="16" fontId="15" fillId="0" borderId="132" xfId="0" applyNumberFormat="1" applyFont="1" applyBorder="1" applyAlignment="1">
      <alignment horizontal="center" vertical="center"/>
    </xf>
    <xf numFmtId="0" fontId="82" fillId="0" borderId="0" xfId="0" applyFont="1"/>
    <xf numFmtId="0" fontId="1" fillId="0" borderId="0" xfId="0" applyFont="1"/>
    <xf numFmtId="0" fontId="83" fillId="5" borderId="81" xfId="0" applyFont="1" applyFill="1" applyBorder="1" applyAlignment="1">
      <alignment horizontal="center" vertical="center"/>
    </xf>
    <xf numFmtId="0" fontId="83" fillId="5" borderId="89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3" fillId="5" borderId="81" xfId="0" applyFont="1" applyFill="1" applyBorder="1" applyAlignment="1">
      <alignment horizontal="center" vertical="center" wrapText="1"/>
    </xf>
    <xf numFmtId="0" fontId="84" fillId="21" borderId="81" xfId="0" applyFont="1" applyFill="1" applyBorder="1" applyAlignment="1">
      <alignment horizontal="center" vertical="center"/>
    </xf>
    <xf numFmtId="0" fontId="84" fillId="21" borderId="89" xfId="0" applyFont="1" applyFill="1" applyBorder="1" applyAlignment="1">
      <alignment horizontal="center" vertical="center"/>
    </xf>
    <xf numFmtId="0" fontId="84" fillId="21" borderId="136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63" fillId="27" borderId="0" xfId="0" applyFont="1" applyFill="1" applyAlignment="1">
      <alignment horizontal="center" vertical="center"/>
    </xf>
    <xf numFmtId="0" fontId="63" fillId="8" borderId="0" xfId="0" applyFont="1" applyFill="1" applyAlignment="1">
      <alignment horizontal="center" vertical="center"/>
    </xf>
    <xf numFmtId="0" fontId="62" fillId="9" borderId="0" xfId="0" applyFont="1" applyFill="1" applyAlignment="1">
      <alignment horizontal="left" vertical="center"/>
    </xf>
    <xf numFmtId="0" fontId="63" fillId="26" borderId="0" xfId="0" applyFont="1" applyFill="1" applyAlignment="1">
      <alignment horizontal="center" vertical="center"/>
    </xf>
    <xf numFmtId="0" fontId="0" fillId="0" borderId="0" xfId="0" applyFont="1"/>
    <xf numFmtId="0" fontId="0" fillId="0" borderId="0" xfId="0" applyAlignment="1">
      <alignment horizontal="center" vertical="center"/>
    </xf>
    <xf numFmtId="0" fontId="64" fillId="7" borderId="0" xfId="0" applyFont="1" applyFill="1" applyAlignment="1">
      <alignment horizontal="center" vertical="center"/>
    </xf>
    <xf numFmtId="0" fontId="85" fillId="7" borderId="0" xfId="0" applyFont="1" applyFill="1" applyAlignment="1">
      <alignment horizontal="center" vertical="center"/>
    </xf>
    <xf numFmtId="0" fontId="83" fillId="5" borderId="8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6" fillId="0" borderId="0" xfId="0" applyFont="1" applyAlignment="1">
      <alignment horizontal="center" wrapText="1"/>
    </xf>
    <xf numFmtId="0" fontId="87" fillId="0" borderId="0" xfId="0" applyFont="1" applyAlignment="1">
      <alignment vertical="center" wrapText="1"/>
    </xf>
    <xf numFmtId="0" fontId="0" fillId="0" borderId="0" xfId="0" applyFill="1"/>
    <xf numFmtId="0" fontId="86" fillId="0" borderId="0" xfId="0" applyFont="1" applyAlignment="1">
      <alignment horizontal="center" vertical="center" wrapText="1"/>
    </xf>
    <xf numFmtId="0" fontId="87" fillId="0" borderId="0" xfId="0" applyFont="1" applyAlignment="1">
      <alignment horizontal="center" vertical="center" wrapText="1"/>
    </xf>
    <xf numFmtId="0" fontId="88" fillId="0" borderId="0" xfId="0" applyFont="1" applyAlignment="1">
      <alignment horizontal="center" vertical="center"/>
    </xf>
    <xf numFmtId="0" fontId="0" fillId="11" borderId="0" xfId="0" applyFill="1"/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7" fillId="0" borderId="0" xfId="0" applyFont="1" applyFill="1" applyAlignment="1">
      <alignment horizontal="center" vertical="center" wrapText="1"/>
    </xf>
    <xf numFmtId="0" fontId="87" fillId="0" borderId="0" xfId="0" applyFont="1" applyFill="1" applyAlignment="1">
      <alignment vertical="center" wrapText="1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 vertical="center" wrapText="1"/>
    </xf>
    <xf numFmtId="0" fontId="83" fillId="5" borderId="89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7" borderId="0" xfId="0" applyFill="1"/>
    <xf numFmtId="0" fontId="87" fillId="7" borderId="0" xfId="0" applyFont="1" applyFill="1" applyAlignment="1">
      <alignment horizontal="center" vertical="center" wrapText="1"/>
    </xf>
    <xf numFmtId="0" fontId="87" fillId="7" borderId="0" xfId="0" applyFont="1" applyFill="1" applyAlignment="1">
      <alignment vertical="center" wrapText="1"/>
    </xf>
    <xf numFmtId="0" fontId="0" fillId="7" borderId="0" xfId="0" applyFill="1" applyAlignment="1">
      <alignment horizontal="center" vertical="center" wrapText="1"/>
    </xf>
    <xf numFmtId="0" fontId="0" fillId="7" borderId="0" xfId="0" applyFill="1" applyAlignment="1">
      <alignment horizontal="center"/>
    </xf>
    <xf numFmtId="0" fontId="0" fillId="7" borderId="0" xfId="0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2" fillId="0" borderId="96" xfId="0" applyFont="1" applyFill="1" applyBorder="1" applyAlignment="1">
      <alignment horizontal="center" vertical="center"/>
    </xf>
    <xf numFmtId="0" fontId="87" fillId="11" borderId="0" xfId="0" applyFont="1" applyFill="1" applyAlignment="1">
      <alignment horizontal="center" vertical="center" wrapText="1"/>
    </xf>
    <xf numFmtId="0" fontId="87" fillId="11" borderId="0" xfId="0" applyFont="1" applyFill="1" applyAlignment="1">
      <alignment vertical="center" wrapText="1"/>
    </xf>
    <xf numFmtId="0" fontId="0" fillId="11" borderId="0" xfId="0" applyFill="1" applyAlignment="1">
      <alignment horizontal="center" vertical="center" wrapText="1"/>
    </xf>
    <xf numFmtId="0" fontId="3" fillId="0" borderId="0" xfId="1"/>
    <xf numFmtId="17" fontId="15" fillId="24" borderId="134" xfId="0" applyNumberFormat="1" applyFont="1" applyFill="1" applyBorder="1" applyAlignment="1">
      <alignment horizontal="center" vertical="center" wrapText="1" readingOrder="1"/>
    </xf>
    <xf numFmtId="17" fontId="15" fillId="0" borderId="134" xfId="0" applyNumberFormat="1" applyFont="1" applyBorder="1" applyAlignment="1">
      <alignment horizontal="center" vertical="center"/>
    </xf>
    <xf numFmtId="0" fontId="50" fillId="0" borderId="0" xfId="0" applyFont="1" applyAlignment="1">
      <alignment horizontal="center"/>
    </xf>
    <xf numFmtId="0" fontId="50" fillId="0" borderId="0" xfId="0" applyFont="1" applyAlignment="1">
      <alignment horizontal="center" vertical="center"/>
    </xf>
    <xf numFmtId="0" fontId="50" fillId="0" borderId="81" xfId="0" applyFont="1" applyBorder="1" applyAlignment="1">
      <alignment vertical="center" wrapText="1"/>
    </xf>
    <xf numFmtId="0" fontId="50" fillId="0" borderId="81" xfId="0" applyFont="1" applyBorder="1" applyAlignment="1">
      <alignment horizontal="center" vertical="center"/>
    </xf>
    <xf numFmtId="0" fontId="89" fillId="10" borderId="105" xfId="0" applyFont="1" applyFill="1" applyBorder="1" applyAlignment="1">
      <alignment horizontal="center" vertical="center"/>
    </xf>
    <xf numFmtId="0" fontId="21" fillId="31" borderId="105" xfId="0" applyFont="1" applyFill="1" applyBorder="1" applyAlignment="1">
      <alignment horizontal="center" vertical="center"/>
    </xf>
    <xf numFmtId="0" fontId="11" fillId="0" borderId="0" xfId="0" applyFont="1"/>
    <xf numFmtId="0" fontId="90" fillId="0" borderId="81" xfId="0" applyFont="1" applyBorder="1" applyAlignment="1">
      <alignment horizontal="center" vertical="center"/>
    </xf>
    <xf numFmtId="0" fontId="91" fillId="0" borderId="81" xfId="0" applyFont="1" applyBorder="1" applyAlignment="1">
      <alignment horizontal="center" vertical="center"/>
    </xf>
    <xf numFmtId="0" fontId="92" fillId="0" borderId="81" xfId="0" applyFont="1" applyBorder="1" applyAlignment="1">
      <alignment horizontal="center" vertical="center"/>
    </xf>
    <xf numFmtId="0" fontId="93" fillId="0" borderId="81" xfId="0" applyFont="1" applyBorder="1" applyAlignment="1">
      <alignment horizontal="center" vertical="center"/>
    </xf>
    <xf numFmtId="0" fontId="50" fillId="29" borderId="81" xfId="0" applyFont="1" applyFill="1" applyBorder="1" applyAlignment="1">
      <alignment horizontal="center" vertical="center"/>
    </xf>
    <xf numFmtId="0" fontId="50" fillId="29" borderId="81" xfId="0" applyFont="1" applyFill="1" applyBorder="1" applyAlignment="1">
      <alignment vertical="center" wrapText="1"/>
    </xf>
    <xf numFmtId="0" fontId="90" fillId="29" borderId="81" xfId="0" applyFont="1" applyFill="1" applyBorder="1" applyAlignment="1">
      <alignment horizontal="center" vertical="center"/>
    </xf>
    <xf numFmtId="0" fontId="50" fillId="8" borderId="81" xfId="0" applyFont="1" applyFill="1" applyBorder="1" applyAlignment="1">
      <alignment horizontal="center" vertical="center"/>
    </xf>
    <xf numFmtId="0" fontId="50" fillId="8" borderId="81" xfId="0" applyFont="1" applyFill="1" applyBorder="1" applyAlignment="1">
      <alignment vertical="center" wrapText="1"/>
    </xf>
    <xf numFmtId="0" fontId="90" fillId="8" borderId="81" xfId="0" applyFont="1" applyFill="1" applyBorder="1" applyAlignment="1">
      <alignment horizontal="center" vertical="center"/>
    </xf>
    <xf numFmtId="0" fontId="50" fillId="28" borderId="81" xfId="0" applyFont="1" applyFill="1" applyBorder="1" applyAlignment="1">
      <alignment horizontal="center" vertical="center"/>
    </xf>
    <xf numFmtId="0" fontId="50" fillId="28" borderId="81" xfId="0" applyFont="1" applyFill="1" applyBorder="1" applyAlignment="1">
      <alignment vertical="center" wrapText="1"/>
    </xf>
    <xf numFmtId="0" fontId="90" fillId="28" borderId="81" xfId="0" applyFont="1" applyFill="1" applyBorder="1" applyAlignment="1">
      <alignment horizontal="center" vertical="center"/>
    </xf>
    <xf numFmtId="0" fontId="91" fillId="28" borderId="81" xfId="0" applyFont="1" applyFill="1" applyBorder="1" applyAlignment="1">
      <alignment horizontal="center" vertical="center"/>
    </xf>
    <xf numFmtId="0" fontId="91" fillId="29" borderId="81" xfId="0" applyFont="1" applyFill="1" applyBorder="1" applyAlignment="1">
      <alignment horizontal="center" vertical="center"/>
    </xf>
    <xf numFmtId="0" fontId="92" fillId="28" borderId="81" xfId="0" applyFont="1" applyFill="1" applyBorder="1" applyAlignment="1">
      <alignment horizontal="center" vertical="center"/>
    </xf>
    <xf numFmtId="0" fontId="92" fillId="29" borderId="81" xfId="0" applyFont="1" applyFill="1" applyBorder="1" applyAlignment="1">
      <alignment horizontal="center" vertical="center"/>
    </xf>
    <xf numFmtId="0" fontId="93" fillId="28" borderId="81" xfId="0" applyFont="1" applyFill="1" applyBorder="1" applyAlignment="1">
      <alignment horizontal="center" vertical="center"/>
    </xf>
    <xf numFmtId="0" fontId="93" fillId="29" borderId="81" xfId="0" applyFont="1" applyFill="1" applyBorder="1" applyAlignment="1">
      <alignment horizontal="center" vertical="center"/>
    </xf>
    <xf numFmtId="0" fontId="93" fillId="8" borderId="81" xfId="0" applyFont="1" applyFill="1" applyBorder="1" applyAlignment="1">
      <alignment horizontal="center" vertical="center"/>
    </xf>
    <xf numFmtId="0" fontId="54" fillId="0" borderId="120" xfId="0" applyFont="1" applyBorder="1" applyAlignment="1">
      <alignment horizontal="center"/>
    </xf>
    <xf numFmtId="0" fontId="94" fillId="19" borderId="0" xfId="0" applyFont="1" applyFill="1" applyAlignment="1">
      <alignment horizontal="center" vertical="center"/>
    </xf>
    <xf numFmtId="0" fontId="51" fillId="10" borderId="81" xfId="0" applyFont="1" applyFill="1" applyBorder="1" applyAlignment="1">
      <alignment vertical="center"/>
    </xf>
    <xf numFmtId="0" fontId="48" fillId="10" borderId="81" xfId="0" applyFont="1" applyFill="1" applyBorder="1" applyAlignment="1">
      <alignment vertical="center"/>
    </xf>
    <xf numFmtId="0" fontId="57" fillId="9" borderId="0" xfId="0" applyFont="1" applyFill="1" applyAlignment="1">
      <alignment vertical="center" wrapText="1"/>
    </xf>
    <xf numFmtId="0" fontId="59" fillId="0" borderId="0" xfId="0" applyFont="1" applyAlignment="1">
      <alignment vertical="center"/>
    </xf>
    <xf numFmtId="0" fontId="54" fillId="9" borderId="0" xfId="0" applyFont="1" applyFill="1" applyAlignment="1"/>
    <xf numFmtId="0" fontId="26" fillId="0" borderId="0" xfId="0" applyFont="1" applyAlignment="1"/>
    <xf numFmtId="0" fontId="52" fillId="9" borderId="0" xfId="0" applyFont="1" applyFill="1" applyAlignment="1"/>
    <xf numFmtId="0" fontId="53" fillId="0" borderId="0" xfId="0" applyFont="1" applyAlignment="1"/>
    <xf numFmtId="0" fontId="83" fillId="5" borderId="81" xfId="0" applyFont="1" applyFill="1" applyBorder="1" applyAlignment="1">
      <alignment horizontal="center" vertical="center"/>
    </xf>
    <xf numFmtId="0" fontId="67" fillId="30" borderId="137" xfId="0" applyFont="1" applyFill="1" applyBorder="1" applyAlignment="1">
      <alignment horizontal="center" vertical="center"/>
    </xf>
    <xf numFmtId="0" fontId="67" fillId="30" borderId="138" xfId="0" applyFont="1" applyFill="1" applyBorder="1" applyAlignment="1">
      <alignment horizontal="center" vertical="center"/>
    </xf>
    <xf numFmtId="0" fontId="67" fillId="30" borderId="139" xfId="0" applyFont="1" applyFill="1" applyBorder="1" applyAlignment="1">
      <alignment horizontal="center" vertical="center"/>
    </xf>
    <xf numFmtId="0" fontId="15" fillId="0" borderId="135" xfId="0" applyFont="1" applyBorder="1" applyAlignment="1">
      <alignment horizontal="center" vertical="center"/>
    </xf>
    <xf numFmtId="0" fontId="15" fillId="0" borderId="133" xfId="0" quotePrefix="1" applyFont="1" applyBorder="1" applyAlignment="1">
      <alignment horizontal="center" vertical="center"/>
    </xf>
    <xf numFmtId="0" fontId="14" fillId="0" borderId="135" xfId="0" applyFont="1" applyBorder="1" applyAlignment="1">
      <alignment horizontal="center" vertical="center"/>
    </xf>
    <xf numFmtId="0" fontId="14" fillId="0" borderId="133" xfId="0" applyFont="1" applyBorder="1" applyAlignment="1">
      <alignment horizontal="center" vertical="center"/>
    </xf>
    <xf numFmtId="0" fontId="13" fillId="0" borderId="117" xfId="0" applyFont="1" applyBorder="1" applyAlignment="1">
      <alignment horizontal="left" vertical="center" wrapText="1" indent="1" readingOrder="1"/>
    </xf>
    <xf numFmtId="0" fontId="13" fillId="0" borderId="118" xfId="0" applyFont="1" applyBorder="1" applyAlignment="1">
      <alignment horizontal="left" vertical="center" wrapText="1" indent="1" readingOrder="1"/>
    </xf>
    <xf numFmtId="0" fontId="12" fillId="0" borderId="6" xfId="0" applyFont="1" applyBorder="1" applyAlignment="1">
      <alignment horizontal="left" vertical="center" wrapText="1" indent="1" readingOrder="1"/>
    </xf>
    <xf numFmtId="0" fontId="12" fillId="0" borderId="119" xfId="0" applyFont="1" applyBorder="1" applyAlignment="1">
      <alignment horizontal="left" vertical="center" wrapText="1" indent="1" readingOrder="1"/>
    </xf>
    <xf numFmtId="0" fontId="12" fillId="0" borderId="31" xfId="0" applyFont="1" applyBorder="1" applyAlignment="1">
      <alignment horizontal="left" vertical="center" wrapText="1" indent="1"/>
    </xf>
    <xf numFmtId="0" fontId="20" fillId="0" borderId="0" xfId="0" applyFont="1" applyAlignment="1">
      <alignment horizontal="left" vertical="center" wrapText="1" indent="1"/>
    </xf>
    <xf numFmtId="0" fontId="20" fillId="0" borderId="32" xfId="0" applyFont="1" applyBorder="1" applyAlignment="1">
      <alignment horizontal="left" vertical="center" wrapText="1" indent="1"/>
    </xf>
    <xf numFmtId="0" fontId="12" fillId="0" borderId="8" xfId="0" applyFont="1" applyBorder="1" applyAlignment="1">
      <alignment horizontal="left" vertical="center" indent="1"/>
    </xf>
    <xf numFmtId="0" fontId="0" fillId="0" borderId="2" xfId="0" applyBorder="1" applyAlignment="1">
      <alignment horizontal="left" vertical="center" indent="1"/>
    </xf>
    <xf numFmtId="0" fontId="12" fillId="9" borderId="112" xfId="0" applyFont="1" applyFill="1" applyBorder="1" applyAlignment="1">
      <alignment horizontal="left" vertical="center" wrapText="1" indent="1" readingOrder="1"/>
    </xf>
    <xf numFmtId="0" fontId="12" fillId="9" borderId="113" xfId="0" applyFont="1" applyFill="1" applyBorder="1" applyAlignment="1">
      <alignment horizontal="left" vertical="center" wrapText="1" indent="1" readingOrder="1"/>
    </xf>
    <xf numFmtId="49" fontId="12" fillId="9" borderId="115" xfId="0" applyNumberFormat="1" applyFont="1" applyFill="1" applyBorder="1" applyAlignment="1">
      <alignment horizontal="center" vertical="center"/>
    </xf>
    <xf numFmtId="49" fontId="11" fillId="9" borderId="38" xfId="0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left" vertical="center" wrapText="1" indent="1" readingOrder="1"/>
    </xf>
    <xf numFmtId="0" fontId="12" fillId="0" borderId="24" xfId="0" applyFont="1" applyBorder="1" applyAlignment="1">
      <alignment horizontal="left" vertical="center" wrapText="1" indent="1" readingOrder="1"/>
    </xf>
    <xf numFmtId="49" fontId="11" fillId="0" borderId="5" xfId="0" applyNumberFormat="1" applyFont="1" applyBorder="1" applyAlignment="1">
      <alignment horizontal="center" vertical="center"/>
    </xf>
    <xf numFmtId="49" fontId="11" fillId="0" borderId="126" xfId="0" applyNumberFormat="1" applyFont="1" applyBorder="1" applyAlignment="1">
      <alignment horizontal="center" vertical="center"/>
    </xf>
    <xf numFmtId="49" fontId="12" fillId="9" borderId="116" xfId="0" quotePrefix="1" applyNumberFormat="1" applyFont="1" applyFill="1" applyBorder="1" applyAlignment="1">
      <alignment horizontal="center" vertical="center" wrapText="1" readingOrder="1"/>
    </xf>
    <xf numFmtId="49" fontId="12" fillId="9" borderId="39" xfId="0" applyNumberFormat="1" applyFont="1" applyFill="1" applyBorder="1" applyAlignment="1">
      <alignment horizontal="center" vertical="center" wrapText="1" readingOrder="1"/>
    </xf>
    <xf numFmtId="49" fontId="11" fillId="0" borderId="41" xfId="0" applyNumberFormat="1" applyFont="1" applyBorder="1" applyAlignment="1">
      <alignment horizontal="center" vertical="center"/>
    </xf>
    <xf numFmtId="49" fontId="11" fillId="0" borderId="40" xfId="0" applyNumberFormat="1" applyFont="1" applyBorder="1" applyAlignment="1">
      <alignment horizontal="center" vertical="center"/>
    </xf>
    <xf numFmtId="49" fontId="11" fillId="21" borderId="5" xfId="0" applyNumberFormat="1" applyFont="1" applyFill="1" applyBorder="1" applyAlignment="1">
      <alignment horizontal="center" vertical="center"/>
    </xf>
    <xf numFmtId="0" fontId="12" fillId="21" borderId="8" xfId="0" applyFont="1" applyFill="1" applyBorder="1" applyAlignment="1">
      <alignment horizontal="left" vertical="center" wrapText="1"/>
    </xf>
    <xf numFmtId="0" fontId="0" fillId="21" borderId="2" xfId="0" applyFill="1" applyBorder="1" applyAlignment="1">
      <alignment horizontal="left" vertical="center" wrapText="1"/>
    </xf>
    <xf numFmtId="0" fontId="7" fillId="0" borderId="111" xfId="0" applyFont="1" applyBorder="1" applyAlignment="1">
      <alignment horizontal="center" vertical="center"/>
    </xf>
    <xf numFmtId="0" fontId="0" fillId="0" borderId="112" xfId="0" applyBorder="1" applyAlignment="1">
      <alignment horizontal="center" vertical="center"/>
    </xf>
    <xf numFmtId="0" fontId="0" fillId="0" borderId="123" xfId="0" applyBorder="1" applyAlignment="1">
      <alignment horizontal="center" vertical="center"/>
    </xf>
    <xf numFmtId="0" fontId="24" fillId="9" borderId="104" xfId="0" applyFont="1" applyFill="1" applyBorder="1" applyAlignment="1">
      <alignment horizontal="center" vertical="center"/>
    </xf>
    <xf numFmtId="0" fontId="24" fillId="0" borderId="10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2" xfId="0" applyBorder="1" applyAlignment="1">
      <alignment horizontal="center" vertical="center"/>
    </xf>
    <xf numFmtId="0" fontId="13" fillId="9" borderId="19" xfId="0" applyFont="1" applyFill="1" applyBorder="1" applyAlignment="1">
      <alignment horizontal="left" vertical="center" wrapText="1" indent="1" readingOrder="1"/>
    </xf>
    <xf numFmtId="0" fontId="13" fillId="9" borderId="100" xfId="0" applyFont="1" applyFill="1" applyBorder="1" applyAlignment="1">
      <alignment horizontal="left" vertical="center" wrapText="1" indent="1" readingOrder="1"/>
    </xf>
    <xf numFmtId="0" fontId="12" fillId="9" borderId="23" xfId="0" applyFont="1" applyFill="1" applyBorder="1" applyAlignment="1">
      <alignment horizontal="left" vertical="center" wrapText="1" indent="1" readingOrder="1"/>
    </xf>
    <xf numFmtId="0" fontId="12" fillId="9" borderId="29" xfId="0" applyFont="1" applyFill="1" applyBorder="1" applyAlignment="1">
      <alignment horizontal="left" vertical="center" wrapText="1" indent="1" readingOrder="1"/>
    </xf>
    <xf numFmtId="0" fontId="13" fillId="0" borderId="31" xfId="0" applyFont="1" applyBorder="1" applyAlignment="1">
      <alignment horizontal="left" vertical="center" wrapText="1" indent="1"/>
    </xf>
    <xf numFmtId="0" fontId="13" fillId="0" borderId="17" xfId="0" applyFont="1" applyBorder="1" applyAlignment="1">
      <alignment horizontal="left" vertical="center" wrapText="1" indent="1" readingOrder="1"/>
    </xf>
    <xf numFmtId="0" fontId="13" fillId="0" borderId="21" xfId="0" applyFont="1" applyBorder="1" applyAlignment="1">
      <alignment horizontal="left" vertical="center" wrapText="1" indent="1" readingOrder="1"/>
    </xf>
    <xf numFmtId="0" fontId="12" fillId="0" borderId="1" xfId="0" applyFont="1" applyBorder="1" applyAlignment="1">
      <alignment horizontal="left" vertical="center" wrapText="1" indent="1" readingOrder="1"/>
    </xf>
    <xf numFmtId="0" fontId="24" fillId="0" borderId="105" xfId="0" applyFont="1" applyBorder="1" applyAlignment="1">
      <alignment horizontal="center" vertical="center"/>
    </xf>
    <xf numFmtId="0" fontId="7" fillId="0" borderId="99" xfId="0" applyFont="1" applyBorder="1" applyAlignment="1">
      <alignment horizontal="center" vertical="center" wrapText="1" readingOrder="1"/>
    </xf>
    <xf numFmtId="0" fontId="7" fillId="0" borderId="98" xfId="0" applyFont="1" applyBorder="1" applyAlignment="1">
      <alignment horizontal="center" vertical="center" wrapText="1" readingOrder="1"/>
    </xf>
    <xf numFmtId="0" fontId="13" fillId="21" borderId="17" xfId="0" applyFont="1" applyFill="1" applyBorder="1" applyAlignment="1">
      <alignment horizontal="left" vertical="center" wrapText="1" indent="1" readingOrder="1"/>
    </xf>
    <xf numFmtId="0" fontId="13" fillId="21" borderId="21" xfId="0" applyFont="1" applyFill="1" applyBorder="1" applyAlignment="1">
      <alignment horizontal="left" vertical="center" wrapText="1" indent="1" readingOrder="1"/>
    </xf>
    <xf numFmtId="0" fontId="12" fillId="21" borderId="6" xfId="0" applyFont="1" applyFill="1" applyBorder="1" applyAlignment="1">
      <alignment horizontal="left" vertical="center" wrapText="1" indent="1" readingOrder="1"/>
    </xf>
    <xf numFmtId="0" fontId="12" fillId="21" borderId="1" xfId="0" applyFont="1" applyFill="1" applyBorder="1" applyAlignment="1">
      <alignment horizontal="left" vertical="center" wrapText="1" indent="1" readingOrder="1"/>
    </xf>
    <xf numFmtId="0" fontId="24" fillId="21" borderId="102" xfId="0" applyFont="1" applyFill="1" applyBorder="1" applyAlignment="1">
      <alignment horizontal="center" vertical="center"/>
    </xf>
    <xf numFmtId="0" fontId="24" fillId="21" borderId="101" xfId="0" applyFont="1" applyFill="1" applyBorder="1" applyAlignment="1">
      <alignment horizontal="center" vertical="center"/>
    </xf>
    <xf numFmtId="0" fontId="13" fillId="0" borderId="26" xfId="0" applyFont="1" applyBorder="1" applyAlignment="1">
      <alignment horizontal="left" vertical="center" wrapText="1" indent="1"/>
    </xf>
    <xf numFmtId="0" fontId="11" fillId="0" borderId="23" xfId="0" applyFont="1" applyBorder="1" applyAlignment="1">
      <alignment horizontal="left" vertical="center" wrapText="1" indent="1"/>
    </xf>
    <xf numFmtId="0" fontId="11" fillId="0" borderId="12" xfId="0" applyFont="1" applyBorder="1" applyAlignment="1">
      <alignment horizontal="left" vertical="center" wrapText="1" indent="1"/>
    </xf>
    <xf numFmtId="49" fontId="50" fillId="0" borderId="23" xfId="0" applyNumberFormat="1" applyFont="1" applyBorder="1" applyAlignment="1">
      <alignment horizontal="center" vertical="center"/>
    </xf>
    <xf numFmtId="0" fontId="50" fillId="0" borderId="12" xfId="0" applyFont="1" applyBorder="1" applyAlignment="1">
      <alignment horizontal="center" vertical="center"/>
    </xf>
    <xf numFmtId="49" fontId="50" fillId="0" borderId="23" xfId="0" quotePrefix="1" applyNumberFormat="1" applyFont="1" applyBorder="1" applyAlignment="1">
      <alignment horizontal="center" vertical="center"/>
    </xf>
    <xf numFmtId="0" fontId="50" fillId="0" borderId="12" xfId="0" quotePrefix="1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9" fillId="0" borderId="87" xfId="0" applyFont="1" applyBorder="1" applyAlignment="1">
      <alignment horizontal="left" vertical="center" indent="4"/>
    </xf>
    <xf numFmtId="0" fontId="0" fillId="0" borderId="80" xfId="0" applyBorder="1" applyAlignment="1">
      <alignment horizontal="left" vertical="center" indent="4"/>
    </xf>
    <xf numFmtId="0" fontId="25" fillId="22" borderId="107" xfId="0" applyFont="1" applyFill="1" applyBorder="1" applyAlignment="1">
      <alignment horizontal="center" vertical="center"/>
    </xf>
    <xf numFmtId="0" fontId="0" fillId="22" borderId="108" xfId="0" applyFill="1" applyBorder="1" applyAlignment="1">
      <alignment horizontal="center" vertical="center"/>
    </xf>
    <xf numFmtId="0" fontId="0" fillId="22" borderId="85" xfId="0" applyFill="1" applyBorder="1" applyAlignment="1">
      <alignment horizontal="center" vertical="center"/>
    </xf>
    <xf numFmtId="0" fontId="36" fillId="0" borderId="107" xfId="0" applyFont="1" applyBorder="1" applyAlignment="1">
      <alignment horizontal="center" vertical="center"/>
    </xf>
    <xf numFmtId="0" fontId="36" fillId="0" borderId="108" xfId="0" applyFont="1" applyBorder="1" applyAlignment="1">
      <alignment horizontal="center" vertical="center"/>
    </xf>
    <xf numFmtId="0" fontId="36" fillId="0" borderId="85" xfId="0" applyFont="1" applyBorder="1" applyAlignment="1">
      <alignment horizontal="center" vertical="center"/>
    </xf>
    <xf numFmtId="0" fontId="69" fillId="6" borderId="57" xfId="0" applyFont="1" applyFill="1" applyBorder="1" applyAlignment="1">
      <alignment horizontal="center" vertical="center"/>
    </xf>
    <xf numFmtId="0" fontId="48" fillId="6" borderId="67" xfId="0" applyFont="1" applyFill="1" applyBorder="1" applyAlignment="1">
      <alignment horizontal="center" vertical="center"/>
    </xf>
    <xf numFmtId="0" fontId="70" fillId="0" borderId="57" xfId="0" applyFont="1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0" fontId="68" fillId="0" borderId="57" xfId="0" applyFont="1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25" fillId="22" borderId="57" xfId="0" applyFont="1" applyFill="1" applyBorder="1" applyAlignment="1">
      <alignment horizontal="center" vertical="center"/>
    </xf>
    <xf numFmtId="0" fontId="0" fillId="22" borderId="52" xfId="0" applyFill="1" applyBorder="1" applyAlignment="1">
      <alignment horizontal="center" vertical="center"/>
    </xf>
    <xf numFmtId="0" fontId="0" fillId="22" borderId="66" xfId="0" applyFill="1" applyBorder="1" applyAlignment="1">
      <alignment horizontal="center" vertical="center"/>
    </xf>
    <xf numFmtId="0" fontId="25" fillId="0" borderId="70" xfId="0" applyFont="1" applyBorder="1" applyAlignment="1">
      <alignment horizontal="center" vertical="center" wrapText="1" readingOrder="1"/>
    </xf>
    <xf numFmtId="0" fontId="25" fillId="0" borderId="66" xfId="0" applyFont="1" applyBorder="1" applyAlignment="1">
      <alignment horizontal="center" vertical="center" wrapText="1" readingOrder="1"/>
    </xf>
    <xf numFmtId="0" fontId="68" fillId="0" borderId="70" xfId="0" applyFont="1" applyBorder="1" applyAlignment="1">
      <alignment horizontal="center" vertical="center" wrapText="1"/>
    </xf>
    <xf numFmtId="0" fontId="68" fillId="0" borderId="66" xfId="0" applyFont="1" applyBorder="1" applyAlignment="1">
      <alignment horizontal="center" vertical="center" wrapText="1"/>
    </xf>
    <xf numFmtId="0" fontId="25" fillId="0" borderId="70" xfId="0" applyFont="1" applyBorder="1" applyAlignment="1">
      <alignment horizontal="left" vertical="center" wrapText="1" indent="1" readingOrder="1"/>
    </xf>
    <xf numFmtId="0" fontId="25" fillId="0" borderId="66" xfId="0" applyFont="1" applyBorder="1" applyAlignment="1">
      <alignment horizontal="left" vertical="center" wrapText="1" indent="1" readingOrder="1"/>
    </xf>
    <xf numFmtId="0" fontId="39" fillId="0" borderId="68" xfId="0" applyFont="1" applyBorder="1" applyAlignment="1">
      <alignment horizontal="center" vertical="center"/>
    </xf>
    <xf numFmtId="0" fontId="39" fillId="0" borderId="51" xfId="0" applyFont="1" applyBorder="1" applyAlignment="1">
      <alignment horizontal="center" vertical="center"/>
    </xf>
    <xf numFmtId="0" fontId="39" fillId="0" borderId="69" xfId="0" applyFont="1" applyBorder="1" applyAlignment="1">
      <alignment horizontal="center" vertical="center"/>
    </xf>
    <xf numFmtId="9" fontId="31" fillId="0" borderId="85" xfId="0" applyNumberFormat="1" applyFont="1" applyBorder="1" applyAlignment="1">
      <alignment horizontal="center" vertical="center"/>
    </xf>
    <xf numFmtId="9" fontId="31" fillId="0" borderId="73" xfId="0" applyNumberFormat="1" applyFont="1" applyBorder="1" applyAlignment="1">
      <alignment horizontal="center" vertical="center"/>
    </xf>
    <xf numFmtId="9" fontId="31" fillId="0" borderId="76" xfId="0" applyNumberFormat="1" applyFont="1" applyBorder="1" applyAlignment="1">
      <alignment horizontal="center" vertical="center"/>
    </xf>
    <xf numFmtId="9" fontId="31" fillId="0" borderId="52" xfId="0" applyNumberFormat="1" applyFont="1" applyBorder="1" applyAlignment="1">
      <alignment horizontal="center" vertical="center"/>
    </xf>
    <xf numFmtId="9" fontId="31" fillId="0" borderId="66" xfId="0" applyNumberFormat="1" applyFont="1" applyBorder="1" applyAlignment="1">
      <alignment horizontal="center" vertical="center"/>
    </xf>
    <xf numFmtId="9" fontId="32" fillId="0" borderId="70" xfId="0" applyNumberFormat="1" applyFont="1" applyBorder="1" applyAlignment="1">
      <alignment horizontal="center" vertical="center"/>
    </xf>
    <xf numFmtId="9" fontId="32" fillId="0" borderId="52" xfId="0" applyNumberFormat="1" applyFont="1" applyBorder="1" applyAlignment="1">
      <alignment horizontal="center" vertical="center"/>
    </xf>
    <xf numFmtId="9" fontId="32" fillId="0" borderId="66" xfId="0" applyNumberFormat="1" applyFont="1" applyBorder="1" applyAlignment="1">
      <alignment horizontal="center" vertical="center"/>
    </xf>
    <xf numFmtId="9" fontId="33" fillId="0" borderId="70" xfId="0" applyNumberFormat="1" applyFont="1" applyBorder="1" applyAlignment="1">
      <alignment horizontal="center" vertical="center"/>
    </xf>
    <xf numFmtId="9" fontId="33" fillId="0" borderId="52" xfId="0" applyNumberFormat="1" applyFont="1" applyBorder="1" applyAlignment="1">
      <alignment horizontal="center" vertical="center"/>
    </xf>
    <xf numFmtId="0" fontId="33" fillId="0" borderId="70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66" xfId="0" applyFont="1" applyBorder="1" applyAlignment="1">
      <alignment horizontal="center" vertical="center"/>
    </xf>
    <xf numFmtId="9" fontId="33" fillId="0" borderId="66" xfId="0" applyNumberFormat="1" applyFont="1" applyBorder="1" applyAlignment="1">
      <alignment horizontal="center" vertical="center"/>
    </xf>
    <xf numFmtId="0" fontId="38" fillId="0" borderId="84" xfId="0" applyFont="1" applyBorder="1" applyAlignment="1">
      <alignment horizontal="center" vertical="center"/>
    </xf>
    <xf numFmtId="0" fontId="38" fillId="0" borderId="72" xfId="0" applyFont="1" applyBorder="1" applyAlignment="1">
      <alignment horizontal="center" vertical="center"/>
    </xf>
    <xf numFmtId="0" fontId="38" fillId="0" borderId="75" xfId="0" applyFont="1" applyBorder="1" applyAlignment="1">
      <alignment horizontal="center" vertical="center"/>
    </xf>
    <xf numFmtId="0" fontId="38" fillId="0" borderId="51" xfId="0" applyFont="1" applyBorder="1" applyAlignment="1">
      <alignment horizontal="center" vertical="center"/>
    </xf>
    <xf numFmtId="0" fontId="38" fillId="0" borderId="69" xfId="0" applyFont="1" applyBorder="1" applyAlignment="1">
      <alignment horizontal="center" vertical="center"/>
    </xf>
    <xf numFmtId="0" fontId="95" fillId="32" applyFill="1" borderId="0" xfId="0" applyFont="1" applyAlignment="1">
      <alignment horizontal="center" vertical="center"/>
    </xf>
    <xf numFmtId="0" fontId="102" fillId="32" applyFill="1" borderId="0" xfId="0" applyFont="1" applyAlignment="1">
      <alignment horizontal="left" vertical="center"/>
    </xf>
    <xf numFmtId="0" fontId="96" fillId="33" applyFill="1" borderId="140" applyBorder="1" xfId="0" applyFont="1" applyAlignment="1">
      <alignment horizontal="center" vertical="center" wrapText="1"/>
    </xf>
    <xf numFmtId="0" fontId="96" fillId="33" applyFill="1" borderId="140" applyBorder="1" xfId="0" applyFont="1" applyAlignment="1">
      <alignment horizontal="center" vertical="center"/>
    </xf>
    <xf numFmtId="0" fontId="99" fillId="33" applyFill="1" borderId="140" applyBorder="1" xfId="0" applyFont="1" applyAlignment="1">
      <alignment horizontal="center" vertical="center" textRotation="90"/>
    </xf>
    <xf numFmtId="0" fontId="99" fillId="42" applyFill="1" borderId="140" applyBorder="1" xfId="0" applyFont="1" applyAlignment="1">
      <alignment horizontal="center" vertical="center" textRotation="90"/>
    </xf>
    <xf numFmtId="0" fontId="97" fillId="0" borderId="140" applyBorder="1" xfId="0" applyFont="1" applyAlignment="1">
      <alignment horizontal="left" vertical="center" wrapText="1"/>
    </xf>
    <xf numFmtId="0" fontId="98" fillId="0" borderId="140" applyBorder="1" xfId="0" applyFont="1" applyAlignment="1">
      <alignment horizontal="center" vertical="center"/>
    </xf>
    <xf numFmtId="0" fontId="100" fillId="0" borderId="0" xfId="0" applyFont="1" applyAlignment="1">
      <alignment horizontal="left" vertical="center"/>
    </xf>
    <xf numFmtId="0" fontId="101" fillId="0" borderId="0" xfId="0" applyFont="1" applyAlignment="1">
      <alignment horizontal="left" vertical="top" wrapText="1"/>
    </xf>
    <xf numFmtId="0" fontId="98" fillId="34" applyFill="1" borderId="140" applyBorder="1" xfId="0" applyFont="1" applyAlignment="1">
      <alignment horizontal="center" vertical="center"/>
    </xf>
    <xf numFmtId="0" fontId="98" fillId="35" applyFill="1" borderId="140" applyBorder="1" xfId="0" applyFont="1" applyAlignment="1">
      <alignment horizontal="center" vertical="center"/>
    </xf>
    <xf numFmtId="0" fontId="98" fillId="36" applyFill="1" borderId="140" applyBorder="1" xfId="0" applyFont="1" applyAlignment="1">
      <alignment horizontal="center" vertical="center"/>
    </xf>
    <xf numFmtId="0" fontId="98" fillId="37" applyFill="1" borderId="140" applyBorder="1" xfId="0" applyFont="1" applyAlignment="1">
      <alignment horizontal="center" vertical="center"/>
    </xf>
    <xf numFmtId="0" fontId="98" fillId="38" applyFill="1" borderId="140" applyBorder="1" xfId="0" applyFont="1" applyAlignment="1">
      <alignment horizontal="center" vertical="center"/>
    </xf>
    <xf numFmtId="0" fontId="98" fillId="39" applyFill="1" borderId="140" applyBorder="1" xfId="0" applyFont="1" applyAlignment="1">
      <alignment horizontal="center" vertical="center"/>
    </xf>
    <xf numFmtId="0" fontId="98" fillId="40" applyFill="1" borderId="140" applyBorder="1" xfId="0" applyFont="1" applyAlignment="1">
      <alignment horizontal="center" vertical="center"/>
    </xf>
    <xf numFmtId="0" fontId="98" fillId="41" applyFill="1" borderId="140" applyBorder="1" xfId="0" applyFont="1" applyAlignment="1">
      <alignment horizontal="center" vertical="center"/>
    </xf>
  </cellXfs>
  <cellStyles count="2">
    <cellStyle name="Hiperligação" xfId="1" builtinId="8"/>
    <cellStyle name="Normal" xfId="0" builtinId="0"/>
  </cellStyles>
  <dxfs count="8">
    <dxf>
      <fill>
        <patternFill>
          <bgColor theme="8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3" tint="0.499984740745262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fgColor theme="0"/>
          <bgColor rgb="FFFFFF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</dxfs>
  <tableStyles count="1" defaultTableStyle="TableStyleMedium2" defaultPivotStyle="PivotStyleLight16">
    <tableStyle name="Invisible" pivot="0" table="0" count="0" xr9:uid="{58DE91E8-D967-4CE5-803C-078B7568D143}"/>
  </tableStyles>
  <colors>
    <mruColors>
      <color rgb="FFFFFFCC"/>
      <color rgb="FFFFCC99"/>
      <color rgb="FFC8005D"/>
      <color rgb="FFE5AA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Relationship Id="rId20" Type="http://schemas.openxmlformats.org/officeDocument/2006/relationships/worksheet" Target="worksheets/sheet1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olidFill>
              <a:srgbClr val="C8005D"/>
            </a:solidFill>
            <a:ln>
              <a:solidFill>
                <a:schemeClr val="bg1">
                  <a:lumMod val="85000"/>
                </a:schemeClr>
              </a:solidFill>
            </a:ln>
          </c:spPr>
          <c:dPt>
            <c:idx val="0"/>
            <c:bubble3D val="0"/>
            <c:explosion val="5"/>
            <c:spPr>
              <a:noFill/>
              <a:ln w="19050">
                <a:solidFill>
                  <a:schemeClr val="bg1">
                    <a:lumMod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38-4580-AFD5-42FE1837070D}"/>
              </c:ext>
            </c:extLst>
          </c:dPt>
          <c:dPt>
            <c:idx val="1"/>
            <c:bubble3D val="0"/>
            <c:spPr>
              <a:solidFill>
                <a:srgbClr val="C8005D"/>
              </a:solidFill>
              <a:ln w="19050">
                <a:solidFill>
                  <a:schemeClr val="bg1">
                    <a:lumMod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CEA-466F-B69C-2C431FC3D7A4}"/>
              </c:ext>
            </c:extLst>
          </c:dPt>
          <c:val>
            <c:numRef>
              <c:f>'Falta Migrar para o MSE'!$F$52:$F$53</c:f>
              <c:numCache>
                <c:formatCode>General</c:formatCode>
                <c:ptCount val="2"/>
                <c:pt idx="0">
                  <c:v>5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38-4580-AFD5-42FE18370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3148539</xdr:colOff>
      <xdr:row>47</xdr:row>
      <xdr:rowOff>140288</xdr:rowOff>
    </xdr:from>
    <xdr:to>
      <xdr:col>6</xdr:col>
      <xdr:colOff>4572000</xdr:colOff>
      <xdr:row>53</xdr:row>
      <xdr:rowOff>113731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83A82325-1826-1352-9F7C-59C5401870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ev.azure.com/ptbcp/IT.DIT/_workitems/edit/990394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Feature%20799992:%20MSE%20|%20Cart&#245;es%20|%20A%20NOSSA%20OFERTA" TargetMode="External"/><Relationship Id="rId1" Type="http://schemas.openxmlformats.org/officeDocument/2006/relationships/hyperlink" Target="Feature%20876291:%20MSE%20|%20Cart&#245;es%20|%20Pedir%20Cart&#227;o%20de%20Cr&#233;dito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dev.azure.com/ptbcp/IT.DIT/_workitems/edit/926458" TargetMode="External"/><Relationship Id="rId2" Type="http://schemas.openxmlformats.org/officeDocument/2006/relationships/hyperlink" Target="https://dev.azure.com/ptbcp/IT.DIT/_workitems/edit/962042" TargetMode="External"/><Relationship Id="rId1" Type="http://schemas.openxmlformats.org/officeDocument/2006/relationships/hyperlink" Target="https://dev.azure.com/ptbcp/IT.DIT/_workitems/edit/921359" TargetMode="External"/><Relationship Id="rId6" Type="http://schemas.openxmlformats.org/officeDocument/2006/relationships/hyperlink" Target="https://dev.azure.com/ptbcp/IT.DIT/_workitems/edit/973284" TargetMode="External"/><Relationship Id="rId5" Type="http://schemas.openxmlformats.org/officeDocument/2006/relationships/hyperlink" Target="https://dev.azure.com/ptbcp/IT.DIT/_workitems/edit/973193" TargetMode="External"/><Relationship Id="rId4" Type="http://schemas.openxmlformats.org/officeDocument/2006/relationships/hyperlink" Target="https://dev.azure.com/ptbcp/IT.DIT/_workitems/edit/96623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dev.azure.com/ptbcp/IT.DIT/_workitems/edit/926458" TargetMode="External"/><Relationship Id="rId2" Type="http://schemas.openxmlformats.org/officeDocument/2006/relationships/hyperlink" Target="https://dev.azure.com/ptbcp/IT.DIT/_workitems/edit/962042" TargetMode="External"/><Relationship Id="rId1" Type="http://schemas.openxmlformats.org/officeDocument/2006/relationships/hyperlink" Target="https://dev.azure.com/ptbcp/IT.DIT/_workitems/edit/921359" TargetMode="External"/><Relationship Id="rId6" Type="http://schemas.openxmlformats.org/officeDocument/2006/relationships/hyperlink" Target="https://dev.azure.com/ptbcp/IT.DIT/_workitems/edit/973284" TargetMode="External"/><Relationship Id="rId5" Type="http://schemas.openxmlformats.org/officeDocument/2006/relationships/hyperlink" Target="https://dev.azure.com/ptbcp/IT.DIT/_workitems/edit/973193" TargetMode="External"/><Relationship Id="rId4" Type="http://schemas.openxmlformats.org/officeDocument/2006/relationships/hyperlink" Target="https://dev.azure.com/ptbcp/IT.DIT/_workitems/edit/966231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66FA3-2047-4D5B-BED5-9E3367A76E77}">
  <sheetPr codeName="Sheet1"/>
  <dimension ref="A1:AM183"/>
  <sheetViews>
    <sheetView workbookViewId="0">
      <selection activeCell="C9" sqref="C9"/>
    </sheetView>
  </sheetViews>
  <sheetFormatPr defaultColWidth="9.42578125" defaultRowHeight="18" x14ac:dyDescent="0.35"/>
  <cols>
    <col min="1" max="1" width="9.42578125" style="157"/>
    <col min="2" max="2" width="38.5703125" style="157" customWidth="1"/>
    <col min="3" max="3" width="14.42578125" style="157" customWidth="1"/>
    <col min="4" max="4" width="20.5703125" style="157" customWidth="1"/>
    <col min="5" max="5" width="15.42578125" style="157" customWidth="1"/>
    <col min="6" max="6" width="41.42578125" style="157" customWidth="1"/>
    <col min="7" max="16384" width="9.42578125" style="157"/>
  </cols>
  <sheetData>
    <row r="1" spans="1:39" x14ac:dyDescent="0.35">
      <c r="A1" s="158"/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</row>
    <row r="2" spans="1:39" ht="21.75" x14ac:dyDescent="0.4">
      <c r="A2" s="158"/>
      <c r="B2" s="453" t="s">
        <v>0</v>
      </c>
      <c r="C2" s="454"/>
      <c r="D2" s="454"/>
      <c r="E2" s="454"/>
      <c r="F2" s="454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58"/>
      <c r="AK2" s="158"/>
      <c r="AL2" s="158"/>
      <c r="AM2" s="158"/>
    </row>
    <row r="3" spans="1:39" ht="18.75" x14ac:dyDescent="0.35">
      <c r="A3" s="158"/>
      <c r="B3" s="451" t="s">
        <v>1</v>
      </c>
      <c r="C3" s="452"/>
      <c r="D3" s="452"/>
      <c r="E3" s="452"/>
      <c r="F3" s="452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8"/>
      <c r="AC3" s="158"/>
      <c r="AD3" s="158"/>
      <c r="AE3" s="158"/>
      <c r="AF3" s="158"/>
      <c r="AG3" s="158"/>
      <c r="AH3" s="158"/>
      <c r="AI3" s="158"/>
      <c r="AJ3" s="158"/>
      <c r="AK3" s="158"/>
      <c r="AL3" s="158"/>
      <c r="AM3" s="158"/>
    </row>
    <row r="4" spans="1:39" x14ac:dyDescent="0.35">
      <c r="A4" s="158"/>
      <c r="B4" s="158"/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  <c r="Y4" s="158"/>
      <c r="Z4" s="158"/>
      <c r="AA4" s="158"/>
      <c r="AB4" s="158"/>
      <c r="AC4" s="158"/>
      <c r="AD4" s="158"/>
      <c r="AE4" s="158"/>
      <c r="AF4" s="158"/>
      <c r="AG4" s="158"/>
      <c r="AH4" s="158"/>
      <c r="AI4" s="158"/>
      <c r="AJ4" s="158"/>
      <c r="AK4" s="158"/>
      <c r="AL4" s="158"/>
      <c r="AM4" s="158"/>
    </row>
    <row r="5" spans="1:39" s="160" customFormat="1" ht="32.25" customHeight="1" x14ac:dyDescent="0.25">
      <c r="A5" s="159"/>
      <c r="B5" s="159"/>
      <c r="C5" s="447" t="s">
        <v>2</v>
      </c>
      <c r="D5" s="448"/>
      <c r="E5" s="448"/>
      <c r="F5" s="448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</row>
    <row r="6" spans="1:39" s="160" customFormat="1" ht="39.75" customHeight="1" x14ac:dyDescent="0.25">
      <c r="A6" s="159"/>
      <c r="B6" s="168" t="s">
        <v>3</v>
      </c>
      <c r="C6" s="165" t="s">
        <v>4</v>
      </c>
      <c r="D6" s="165" t="s">
        <v>5</v>
      </c>
      <c r="E6" s="166" t="s">
        <v>6</v>
      </c>
      <c r="F6" s="165" t="s">
        <v>7</v>
      </c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159"/>
      <c r="AH6" s="159"/>
      <c r="AI6" s="159"/>
      <c r="AJ6" s="159"/>
      <c r="AK6" s="159"/>
      <c r="AL6" s="159"/>
      <c r="AM6" s="159"/>
    </row>
    <row r="7" spans="1:39" s="163" customFormat="1" ht="18.75" x14ac:dyDescent="0.25">
      <c r="A7" s="162"/>
      <c r="B7" s="169" t="s">
        <v>8</v>
      </c>
      <c r="C7" s="167"/>
      <c r="D7" s="161"/>
      <c r="E7" s="161"/>
      <c r="F7" s="164"/>
      <c r="G7" s="162"/>
      <c r="H7" s="162"/>
      <c r="I7" s="162"/>
      <c r="J7" s="162"/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2"/>
      <c r="V7" s="162"/>
      <c r="W7" s="162"/>
      <c r="X7" s="162"/>
      <c r="Y7" s="162"/>
      <c r="Z7" s="162"/>
      <c r="AA7" s="162"/>
      <c r="AB7" s="162"/>
      <c r="AC7" s="162"/>
      <c r="AD7" s="162"/>
      <c r="AE7" s="162"/>
      <c r="AF7" s="162"/>
      <c r="AG7" s="162"/>
      <c r="AH7" s="162"/>
      <c r="AI7" s="162"/>
      <c r="AJ7" s="162"/>
      <c r="AK7" s="162"/>
      <c r="AL7" s="162"/>
      <c r="AM7" s="162"/>
    </row>
    <row r="8" spans="1:39" s="163" customFormat="1" ht="18.75" x14ac:dyDescent="0.25">
      <c r="A8" s="162"/>
      <c r="B8" s="169" t="s">
        <v>9</v>
      </c>
      <c r="C8" s="167">
        <v>46175</v>
      </c>
      <c r="D8" s="161" t="s">
        <v>10</v>
      </c>
      <c r="E8" s="161" t="s">
        <v>14</v>
      </c>
      <c r="F8" s="164" t="s">
        <v>11</v>
      </c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  <c r="AC8" s="162"/>
      <c r="AD8" s="162"/>
      <c r="AE8" s="162"/>
      <c r="AF8" s="162"/>
      <c r="AG8" s="162"/>
      <c r="AH8" s="162"/>
      <c r="AI8" s="162"/>
      <c r="AJ8" s="162"/>
      <c r="AK8" s="162"/>
      <c r="AL8" s="162"/>
      <c r="AM8" s="162"/>
    </row>
    <row r="9" spans="1:39" s="163" customFormat="1" ht="30" x14ac:dyDescent="0.25">
      <c r="A9" s="162"/>
      <c r="B9" s="169" t="s">
        <v>12</v>
      </c>
      <c r="C9" s="167">
        <v>46090</v>
      </c>
      <c r="D9" s="161" t="s">
        <v>13</v>
      </c>
      <c r="E9" s="161" t="s">
        <v>14</v>
      </c>
      <c r="F9" s="164" t="s">
        <v>15</v>
      </c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2"/>
      <c r="AF9" s="162"/>
      <c r="AG9" s="162"/>
      <c r="AH9" s="162"/>
      <c r="AI9" s="162"/>
      <c r="AJ9" s="162"/>
      <c r="AK9" s="162"/>
      <c r="AL9" s="162"/>
      <c r="AM9" s="162"/>
    </row>
    <row r="10" spans="1:39" s="163" customFormat="1" ht="18.75" x14ac:dyDescent="0.25">
      <c r="A10" s="162"/>
      <c r="B10" s="169" t="s">
        <v>16</v>
      </c>
      <c r="C10" s="167"/>
      <c r="D10" s="161"/>
      <c r="E10" s="161"/>
      <c r="F10" s="164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2"/>
      <c r="AF10" s="162"/>
      <c r="AG10" s="162"/>
      <c r="AH10" s="162"/>
      <c r="AI10" s="162"/>
      <c r="AJ10" s="162"/>
      <c r="AK10" s="162"/>
      <c r="AL10" s="162"/>
      <c r="AM10" s="162"/>
    </row>
    <row r="11" spans="1:39" s="163" customFormat="1" ht="18.75" x14ac:dyDescent="0.25">
      <c r="A11" s="162"/>
      <c r="B11" s="169" t="s">
        <v>17</v>
      </c>
      <c r="C11" s="167"/>
      <c r="D11" s="161"/>
      <c r="E11" s="161"/>
      <c r="F11" s="164"/>
      <c r="G11" s="162"/>
      <c r="H11" s="162"/>
      <c r="I11" s="162"/>
      <c r="J11" s="162"/>
      <c r="K11" s="162"/>
      <c r="L11" s="162"/>
      <c r="M11" s="162"/>
      <c r="N11" s="162"/>
      <c r="O11" s="162"/>
      <c r="P11" s="162"/>
      <c r="Q11" s="162"/>
      <c r="R11" s="162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  <c r="AC11" s="162"/>
      <c r="AD11" s="162"/>
      <c r="AE11" s="162"/>
      <c r="AF11" s="162"/>
      <c r="AG11" s="162"/>
      <c r="AH11" s="162"/>
      <c r="AI11" s="162"/>
      <c r="AJ11" s="162"/>
      <c r="AK11" s="162"/>
      <c r="AL11" s="162"/>
      <c r="AM11" s="162"/>
    </row>
    <row r="12" spans="1:39" x14ac:dyDescent="0.35">
      <c r="A12" s="158"/>
      <c r="B12" s="158"/>
      <c r="C12" s="158"/>
      <c r="D12" s="158"/>
      <c r="E12" s="158"/>
      <c r="F12" s="158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158"/>
      <c r="Z12" s="158"/>
      <c r="AA12" s="158"/>
      <c r="AB12" s="158"/>
      <c r="AC12" s="158"/>
      <c r="AD12" s="158"/>
      <c r="AE12" s="158"/>
      <c r="AF12" s="158"/>
      <c r="AG12" s="158"/>
      <c r="AH12" s="158"/>
      <c r="AI12" s="158"/>
      <c r="AJ12" s="158"/>
      <c r="AK12" s="158"/>
      <c r="AL12" s="158"/>
      <c r="AM12" s="158"/>
    </row>
    <row r="13" spans="1:39" x14ac:dyDescent="0.35">
      <c r="A13" s="158"/>
      <c r="B13" s="158"/>
      <c r="C13" s="158"/>
      <c r="D13" s="158"/>
      <c r="E13" s="158"/>
      <c r="F13" s="158"/>
      <c r="G13" s="158"/>
      <c r="H13" s="158"/>
      <c r="I13" s="158"/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  <c r="Y13" s="158"/>
      <c r="Z13" s="158"/>
      <c r="AA13" s="158"/>
      <c r="AB13" s="158"/>
      <c r="AC13" s="158"/>
      <c r="AD13" s="158"/>
      <c r="AE13" s="158"/>
      <c r="AF13" s="158"/>
      <c r="AG13" s="158"/>
      <c r="AH13" s="158"/>
      <c r="AI13" s="158"/>
      <c r="AJ13" s="158"/>
      <c r="AK13" s="158"/>
      <c r="AL13" s="158"/>
      <c r="AM13" s="158"/>
    </row>
    <row r="14" spans="1:39" ht="60" customHeight="1" x14ac:dyDescent="0.35">
      <c r="A14" s="158"/>
      <c r="B14" s="449" t="s">
        <v>18</v>
      </c>
      <c r="C14" s="450"/>
      <c r="D14" s="450"/>
      <c r="E14" s="450"/>
      <c r="F14" s="450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58"/>
      <c r="Z14" s="158"/>
      <c r="AA14" s="158"/>
      <c r="AB14" s="158"/>
      <c r="AC14" s="158"/>
      <c r="AD14" s="158"/>
      <c r="AE14" s="158"/>
      <c r="AF14" s="158"/>
      <c r="AG14" s="158"/>
      <c r="AH14" s="158"/>
      <c r="AI14" s="158"/>
      <c r="AJ14" s="158"/>
      <c r="AK14" s="158"/>
      <c r="AL14" s="158"/>
      <c r="AM14" s="158"/>
    </row>
    <row r="15" spans="1:39" x14ac:dyDescent="0.35">
      <c r="A15" s="158"/>
      <c r="B15" s="158"/>
      <c r="C15" s="158"/>
      <c r="D15" s="158"/>
      <c r="E15" s="158"/>
      <c r="F15" s="158"/>
      <c r="G15" s="158"/>
      <c r="H15" s="158"/>
      <c r="I15" s="158"/>
      <c r="J15" s="158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  <c r="Y15" s="158"/>
      <c r="Z15" s="158"/>
      <c r="AA15" s="158"/>
      <c r="AB15" s="158"/>
      <c r="AC15" s="158"/>
      <c r="AD15" s="158"/>
      <c r="AE15" s="158"/>
      <c r="AF15" s="158"/>
      <c r="AG15" s="158"/>
      <c r="AH15" s="158"/>
      <c r="AI15" s="158"/>
      <c r="AJ15" s="158"/>
      <c r="AK15" s="158"/>
      <c r="AL15" s="158"/>
      <c r="AM15" s="158"/>
    </row>
    <row r="16" spans="1:39" x14ac:dyDescent="0.35">
      <c r="A16" s="158"/>
      <c r="B16" s="158"/>
      <c r="C16" s="158"/>
      <c r="D16" s="158"/>
      <c r="E16" s="158"/>
      <c r="F16" s="158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  <c r="Y16" s="158"/>
      <c r="Z16" s="158"/>
      <c r="AA16" s="158"/>
      <c r="AB16" s="158"/>
      <c r="AC16" s="158"/>
      <c r="AD16" s="158"/>
      <c r="AE16" s="158"/>
      <c r="AF16" s="158"/>
      <c r="AG16" s="158"/>
      <c r="AH16" s="158"/>
      <c r="AI16" s="158"/>
      <c r="AJ16" s="158"/>
      <c r="AK16" s="158"/>
      <c r="AL16" s="158"/>
      <c r="AM16" s="158"/>
    </row>
    <row r="17" spans="1:39" x14ac:dyDescent="0.35">
      <c r="A17" s="158"/>
      <c r="B17" s="158"/>
      <c r="C17" s="158"/>
      <c r="D17" s="158"/>
      <c r="E17" s="158"/>
      <c r="F17" s="158"/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  <c r="Y17" s="158"/>
      <c r="Z17" s="158"/>
      <c r="AA17" s="158"/>
      <c r="AB17" s="158"/>
      <c r="AC17" s="158"/>
      <c r="AD17" s="158"/>
      <c r="AE17" s="158"/>
      <c r="AF17" s="158"/>
      <c r="AG17" s="158"/>
      <c r="AH17" s="158"/>
      <c r="AI17" s="158"/>
      <c r="AJ17" s="158"/>
      <c r="AK17" s="158"/>
      <c r="AL17" s="158"/>
      <c r="AM17" s="158"/>
    </row>
    <row r="18" spans="1:39" x14ac:dyDescent="0.35">
      <c r="A18" s="158"/>
      <c r="B18" s="158"/>
      <c r="C18" s="158"/>
      <c r="D18" s="158"/>
      <c r="E18" s="158"/>
      <c r="F18" s="158"/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8"/>
      <c r="V18" s="158"/>
      <c r="W18" s="158"/>
      <c r="X18" s="158"/>
      <c r="Y18" s="158"/>
      <c r="Z18" s="158"/>
      <c r="AA18" s="158"/>
      <c r="AB18" s="158"/>
      <c r="AC18" s="158"/>
      <c r="AD18" s="158"/>
      <c r="AE18" s="158"/>
      <c r="AF18" s="158"/>
      <c r="AG18" s="158"/>
      <c r="AH18" s="158"/>
      <c r="AI18" s="158"/>
      <c r="AJ18" s="158"/>
      <c r="AK18" s="158"/>
      <c r="AL18" s="158"/>
      <c r="AM18" s="158"/>
    </row>
    <row r="19" spans="1:39" x14ac:dyDescent="0.35">
      <c r="A19" s="158"/>
      <c r="B19" s="158"/>
      <c r="C19" s="158"/>
      <c r="D19" s="158"/>
      <c r="E19" s="158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  <c r="Y19" s="158"/>
      <c r="Z19" s="158"/>
      <c r="AA19" s="158"/>
      <c r="AB19" s="158"/>
      <c r="AC19" s="158"/>
      <c r="AD19" s="158"/>
      <c r="AE19" s="158"/>
      <c r="AF19" s="158"/>
      <c r="AG19" s="158"/>
      <c r="AH19" s="158"/>
      <c r="AI19" s="158"/>
      <c r="AJ19" s="158"/>
      <c r="AK19" s="158"/>
      <c r="AL19" s="158"/>
      <c r="AM19" s="158"/>
    </row>
    <row r="20" spans="1:39" x14ac:dyDescent="0.35">
      <c r="A20" s="158"/>
      <c r="B20" s="158"/>
      <c r="C20" s="158"/>
      <c r="D20" s="158"/>
      <c r="E20" s="158"/>
      <c r="F20" s="158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  <c r="Y20" s="158"/>
      <c r="Z20" s="158"/>
      <c r="AA20" s="158"/>
      <c r="AB20" s="158"/>
      <c r="AC20" s="158"/>
      <c r="AD20" s="158"/>
      <c r="AE20" s="158"/>
      <c r="AF20" s="158"/>
      <c r="AG20" s="158"/>
      <c r="AH20" s="158"/>
      <c r="AI20" s="158"/>
      <c r="AJ20" s="158"/>
      <c r="AK20" s="158"/>
      <c r="AL20" s="158"/>
      <c r="AM20" s="158"/>
    </row>
    <row r="21" spans="1:39" x14ac:dyDescent="0.35">
      <c r="A21" s="158"/>
      <c r="B21" s="158"/>
      <c r="C21" s="158"/>
      <c r="D21" s="158"/>
      <c r="E21" s="158"/>
      <c r="F21" s="158"/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  <c r="Y21" s="158"/>
      <c r="Z21" s="158"/>
      <c r="AA21" s="158"/>
      <c r="AB21" s="158"/>
      <c r="AC21" s="158"/>
      <c r="AD21" s="158"/>
      <c r="AE21" s="158"/>
      <c r="AF21" s="158"/>
      <c r="AG21" s="158"/>
      <c r="AH21" s="158"/>
      <c r="AI21" s="158"/>
      <c r="AJ21" s="158"/>
      <c r="AK21" s="158"/>
      <c r="AL21" s="158"/>
      <c r="AM21" s="158"/>
    </row>
    <row r="22" spans="1:39" x14ac:dyDescent="0.35">
      <c r="A22" s="158"/>
      <c r="B22" s="158"/>
      <c r="C22" s="158"/>
      <c r="D22" s="158"/>
      <c r="E22" s="158"/>
      <c r="F22" s="158"/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  <c r="Y22" s="158"/>
      <c r="Z22" s="158"/>
      <c r="AA22" s="158"/>
      <c r="AB22" s="158"/>
      <c r="AC22" s="158"/>
      <c r="AD22" s="158"/>
      <c r="AE22" s="158"/>
      <c r="AF22" s="158"/>
      <c r="AG22" s="158"/>
      <c r="AH22" s="158"/>
      <c r="AI22" s="158"/>
      <c r="AJ22" s="158"/>
      <c r="AK22" s="158"/>
      <c r="AL22" s="158"/>
      <c r="AM22" s="158"/>
    </row>
    <row r="23" spans="1:39" x14ac:dyDescent="0.35">
      <c r="A23" s="158"/>
      <c r="B23" s="158"/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  <c r="AA23" s="158"/>
      <c r="AB23" s="158"/>
      <c r="AC23" s="158"/>
      <c r="AD23" s="158"/>
      <c r="AE23" s="158"/>
      <c r="AF23" s="158"/>
      <c r="AG23" s="158"/>
      <c r="AH23" s="158"/>
      <c r="AI23" s="158"/>
      <c r="AJ23" s="158"/>
      <c r="AK23" s="158"/>
      <c r="AL23" s="158"/>
      <c r="AM23" s="158"/>
    </row>
    <row r="24" spans="1:39" x14ac:dyDescent="0.35">
      <c r="A24" s="158"/>
      <c r="B24" s="158"/>
      <c r="C24" s="158"/>
      <c r="D24" s="158"/>
      <c r="E24" s="158"/>
      <c r="F24" s="158"/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  <c r="Y24" s="158"/>
      <c r="Z24" s="158"/>
      <c r="AA24" s="158"/>
      <c r="AB24" s="158"/>
      <c r="AC24" s="158"/>
      <c r="AD24" s="158"/>
      <c r="AE24" s="158"/>
      <c r="AF24" s="158"/>
      <c r="AG24" s="158"/>
      <c r="AH24" s="158"/>
      <c r="AI24" s="158"/>
      <c r="AJ24" s="158"/>
      <c r="AK24" s="158"/>
      <c r="AL24" s="158"/>
      <c r="AM24" s="158"/>
    </row>
    <row r="25" spans="1:39" x14ac:dyDescent="0.35">
      <c r="A25" s="158"/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Y25" s="158"/>
      <c r="Z25" s="158"/>
      <c r="AA25" s="158"/>
      <c r="AB25" s="158"/>
      <c r="AC25" s="158"/>
      <c r="AD25" s="158"/>
      <c r="AE25" s="158"/>
      <c r="AF25" s="158"/>
      <c r="AG25" s="158"/>
      <c r="AH25" s="158"/>
      <c r="AI25" s="158"/>
      <c r="AJ25" s="158"/>
      <c r="AK25" s="158"/>
      <c r="AL25" s="158"/>
      <c r="AM25" s="158"/>
    </row>
    <row r="26" spans="1:39" x14ac:dyDescent="0.35">
      <c r="A26" s="158"/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58"/>
      <c r="Z26" s="158"/>
      <c r="AA26" s="158"/>
      <c r="AB26" s="158"/>
      <c r="AC26" s="158"/>
      <c r="AD26" s="158"/>
      <c r="AE26" s="158"/>
      <c r="AF26" s="158"/>
      <c r="AG26" s="158"/>
      <c r="AH26" s="158"/>
      <c r="AI26" s="158"/>
      <c r="AJ26" s="158"/>
      <c r="AK26" s="158"/>
      <c r="AL26" s="158"/>
      <c r="AM26" s="158"/>
    </row>
    <row r="27" spans="1:39" x14ac:dyDescent="0.35">
      <c r="A27" s="158"/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  <c r="Y27" s="158"/>
      <c r="Z27" s="158"/>
      <c r="AA27" s="158"/>
      <c r="AB27" s="158"/>
      <c r="AC27" s="158"/>
      <c r="AD27" s="158"/>
      <c r="AE27" s="158"/>
      <c r="AF27" s="158"/>
      <c r="AG27" s="158"/>
      <c r="AH27" s="158"/>
      <c r="AI27" s="158"/>
      <c r="AJ27" s="158"/>
      <c r="AK27" s="158"/>
      <c r="AL27" s="158"/>
      <c r="AM27" s="158"/>
    </row>
    <row r="28" spans="1:39" x14ac:dyDescent="0.35">
      <c r="A28" s="158"/>
      <c r="B28" s="158"/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8"/>
      <c r="AA28" s="158"/>
      <c r="AB28" s="158"/>
      <c r="AC28" s="158"/>
      <c r="AD28" s="158"/>
      <c r="AE28" s="158"/>
      <c r="AF28" s="158"/>
      <c r="AG28" s="158"/>
      <c r="AH28" s="158"/>
      <c r="AI28" s="158"/>
      <c r="AJ28" s="158"/>
      <c r="AK28" s="158"/>
      <c r="AL28" s="158"/>
      <c r="AM28" s="158"/>
    </row>
    <row r="29" spans="1:39" x14ac:dyDescent="0.35">
      <c r="A29" s="158"/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  <c r="Y29" s="158"/>
      <c r="Z29" s="158"/>
      <c r="AA29" s="158"/>
      <c r="AB29" s="158"/>
      <c r="AC29" s="158"/>
      <c r="AD29" s="158"/>
      <c r="AE29" s="158"/>
      <c r="AF29" s="158"/>
      <c r="AG29" s="158"/>
      <c r="AH29" s="158"/>
      <c r="AI29" s="158"/>
      <c r="AJ29" s="158"/>
      <c r="AK29" s="158"/>
      <c r="AL29" s="158"/>
      <c r="AM29" s="158"/>
    </row>
    <row r="30" spans="1:39" x14ac:dyDescent="0.35">
      <c r="A30" s="158"/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  <c r="Y30" s="158"/>
      <c r="Z30" s="158"/>
      <c r="AA30" s="158"/>
      <c r="AB30" s="158"/>
      <c r="AC30" s="158"/>
      <c r="AD30" s="158"/>
      <c r="AE30" s="158"/>
      <c r="AF30" s="158"/>
      <c r="AG30" s="158"/>
      <c r="AH30" s="158"/>
      <c r="AI30" s="158"/>
      <c r="AJ30" s="158"/>
      <c r="AK30" s="158"/>
      <c r="AL30" s="158"/>
      <c r="AM30" s="158"/>
    </row>
    <row r="31" spans="1:39" x14ac:dyDescent="0.35">
      <c r="A31" s="158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  <c r="Y31" s="158"/>
      <c r="Z31" s="158"/>
      <c r="AA31" s="158"/>
      <c r="AB31" s="158"/>
      <c r="AC31" s="158"/>
      <c r="AD31" s="158"/>
      <c r="AE31" s="158"/>
      <c r="AF31" s="158"/>
      <c r="AG31" s="158"/>
      <c r="AH31" s="158"/>
      <c r="AI31" s="158"/>
      <c r="AJ31" s="158"/>
      <c r="AK31" s="158"/>
      <c r="AL31" s="158"/>
      <c r="AM31" s="158"/>
    </row>
    <row r="32" spans="1:39" x14ac:dyDescent="0.35">
      <c r="A32" s="158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  <c r="Y32" s="158"/>
      <c r="Z32" s="158"/>
      <c r="AA32" s="158"/>
      <c r="AB32" s="158"/>
      <c r="AC32" s="158"/>
      <c r="AD32" s="158"/>
      <c r="AE32" s="158"/>
      <c r="AF32" s="158"/>
      <c r="AG32" s="158"/>
      <c r="AH32" s="158"/>
      <c r="AI32" s="158"/>
      <c r="AJ32" s="158"/>
      <c r="AK32" s="158"/>
      <c r="AL32" s="158"/>
      <c r="AM32" s="158"/>
    </row>
    <row r="33" spans="1:39" x14ac:dyDescent="0.35">
      <c r="A33" s="158"/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  <c r="X33" s="158"/>
      <c r="Y33" s="158"/>
      <c r="Z33" s="158"/>
      <c r="AA33" s="158"/>
      <c r="AB33" s="158"/>
      <c r="AC33" s="158"/>
      <c r="AD33" s="158"/>
      <c r="AE33" s="158"/>
      <c r="AF33" s="158"/>
      <c r="AG33" s="158"/>
      <c r="AH33" s="158"/>
      <c r="AI33" s="158"/>
      <c r="AJ33" s="158"/>
      <c r="AK33" s="158"/>
      <c r="AL33" s="158"/>
      <c r="AM33" s="158"/>
    </row>
    <row r="34" spans="1:39" x14ac:dyDescent="0.35">
      <c r="A34" s="158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8"/>
      <c r="AB34" s="158"/>
      <c r="AC34" s="158"/>
      <c r="AD34" s="158"/>
      <c r="AE34" s="158"/>
      <c r="AF34" s="158"/>
      <c r="AG34" s="158"/>
      <c r="AH34" s="158"/>
      <c r="AI34" s="158"/>
      <c r="AJ34" s="158"/>
      <c r="AK34" s="158"/>
      <c r="AL34" s="158"/>
      <c r="AM34" s="158"/>
    </row>
    <row r="35" spans="1:39" x14ac:dyDescent="0.35">
      <c r="A35" s="158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8"/>
      <c r="N35" s="158"/>
      <c r="O35" s="158"/>
      <c r="P35" s="158"/>
      <c r="Q35" s="158"/>
      <c r="R35" s="158"/>
      <c r="S35" s="158"/>
      <c r="T35" s="158"/>
      <c r="U35" s="158"/>
      <c r="V35" s="158"/>
      <c r="W35" s="158"/>
      <c r="X35" s="158"/>
      <c r="Y35" s="158"/>
      <c r="Z35" s="158"/>
      <c r="AA35" s="158"/>
      <c r="AB35" s="158"/>
      <c r="AC35" s="158"/>
      <c r="AD35" s="158"/>
      <c r="AE35" s="158"/>
      <c r="AF35" s="158"/>
      <c r="AG35" s="158"/>
      <c r="AH35" s="158"/>
      <c r="AI35" s="158"/>
      <c r="AJ35" s="158"/>
      <c r="AK35" s="158"/>
      <c r="AL35" s="158"/>
      <c r="AM35" s="158"/>
    </row>
    <row r="36" spans="1:39" x14ac:dyDescent="0.35">
      <c r="A36" s="158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8"/>
      <c r="Q36" s="158"/>
      <c r="R36" s="158"/>
      <c r="S36" s="158"/>
      <c r="T36" s="158"/>
      <c r="U36" s="158"/>
      <c r="V36" s="158"/>
      <c r="W36" s="158"/>
      <c r="X36" s="158"/>
      <c r="Y36" s="158"/>
      <c r="Z36" s="158"/>
      <c r="AA36" s="158"/>
      <c r="AB36" s="158"/>
      <c r="AC36" s="158"/>
      <c r="AD36" s="158"/>
      <c r="AE36" s="158"/>
      <c r="AF36" s="158"/>
      <c r="AG36" s="158"/>
      <c r="AH36" s="158"/>
      <c r="AI36" s="158"/>
      <c r="AJ36" s="158"/>
      <c r="AK36" s="158"/>
      <c r="AL36" s="158"/>
      <c r="AM36" s="158"/>
    </row>
    <row r="37" spans="1:39" x14ac:dyDescent="0.35">
      <c r="A37" s="158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58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8"/>
      <c r="AB37" s="158"/>
      <c r="AC37" s="158"/>
      <c r="AD37" s="158"/>
      <c r="AE37" s="158"/>
      <c r="AF37" s="158"/>
      <c r="AG37" s="158"/>
      <c r="AH37" s="158"/>
      <c r="AI37" s="158"/>
      <c r="AJ37" s="158"/>
      <c r="AK37" s="158"/>
      <c r="AL37" s="158"/>
      <c r="AM37" s="158"/>
    </row>
    <row r="38" spans="1:39" x14ac:dyDescent="0.35">
      <c r="A38" s="158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8"/>
      <c r="X38" s="158"/>
      <c r="Y38" s="158"/>
      <c r="Z38" s="158"/>
      <c r="AA38" s="158"/>
      <c r="AB38" s="158"/>
      <c r="AC38" s="158"/>
      <c r="AD38" s="158"/>
      <c r="AE38" s="158"/>
      <c r="AF38" s="158"/>
      <c r="AG38" s="158"/>
      <c r="AH38" s="158"/>
      <c r="AI38" s="158"/>
      <c r="AJ38" s="158"/>
      <c r="AK38" s="158"/>
      <c r="AL38" s="158"/>
      <c r="AM38" s="158"/>
    </row>
    <row r="39" spans="1:39" x14ac:dyDescent="0.35">
      <c r="A39" s="158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/>
      <c r="Z39" s="158"/>
      <c r="AA39" s="158"/>
      <c r="AB39" s="158"/>
      <c r="AC39" s="158"/>
      <c r="AD39" s="158"/>
      <c r="AE39" s="158"/>
      <c r="AF39" s="158"/>
      <c r="AG39" s="158"/>
      <c r="AH39" s="158"/>
      <c r="AI39" s="158"/>
      <c r="AJ39" s="158"/>
      <c r="AK39" s="158"/>
      <c r="AL39" s="158"/>
      <c r="AM39" s="158"/>
    </row>
    <row r="40" spans="1:39" x14ac:dyDescent="0.35">
      <c r="A40" s="158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  <c r="W40" s="158"/>
      <c r="X40" s="158"/>
      <c r="Y40" s="158"/>
      <c r="Z40" s="158"/>
      <c r="AA40" s="158"/>
      <c r="AB40" s="158"/>
      <c r="AC40" s="158"/>
      <c r="AD40" s="158"/>
      <c r="AE40" s="158"/>
      <c r="AF40" s="158"/>
      <c r="AG40" s="158"/>
      <c r="AH40" s="158"/>
      <c r="AI40" s="158"/>
      <c r="AJ40" s="158"/>
      <c r="AK40" s="158"/>
      <c r="AL40" s="158"/>
      <c r="AM40" s="158"/>
    </row>
    <row r="41" spans="1:39" x14ac:dyDescent="0.35">
      <c r="A41" s="158"/>
      <c r="B41" s="158"/>
      <c r="C41" s="158"/>
      <c r="D41" s="158"/>
      <c r="E41" s="158"/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  <c r="Y41" s="158"/>
      <c r="Z41" s="158"/>
      <c r="AA41" s="158"/>
      <c r="AB41" s="158"/>
      <c r="AC41" s="158"/>
      <c r="AD41" s="158"/>
      <c r="AE41" s="158"/>
      <c r="AF41" s="158"/>
      <c r="AG41" s="158"/>
      <c r="AH41" s="158"/>
      <c r="AI41" s="158"/>
      <c r="AJ41" s="158"/>
      <c r="AK41" s="158"/>
      <c r="AL41" s="158"/>
      <c r="AM41" s="158"/>
    </row>
    <row r="42" spans="1:39" x14ac:dyDescent="0.35">
      <c r="A42" s="158"/>
      <c r="B42" s="158"/>
      <c r="C42" s="158"/>
      <c r="D42" s="158"/>
      <c r="E42" s="158"/>
      <c r="F42" s="158"/>
      <c r="G42" s="158"/>
      <c r="H42" s="158"/>
      <c r="I42" s="158"/>
      <c r="J42" s="158"/>
      <c r="K42" s="158"/>
      <c r="L42" s="158"/>
      <c r="M42" s="158"/>
      <c r="N42" s="158"/>
      <c r="O42" s="158"/>
      <c r="P42" s="158"/>
      <c r="Q42" s="158"/>
      <c r="R42" s="158"/>
      <c r="S42" s="158"/>
      <c r="T42" s="158"/>
      <c r="U42" s="158"/>
      <c r="V42" s="158"/>
      <c r="W42" s="158"/>
      <c r="X42" s="158"/>
      <c r="Y42" s="158"/>
      <c r="Z42" s="158"/>
      <c r="AA42" s="158"/>
      <c r="AB42" s="158"/>
      <c r="AC42" s="158"/>
      <c r="AD42" s="158"/>
      <c r="AE42" s="158"/>
      <c r="AF42" s="158"/>
      <c r="AG42" s="158"/>
      <c r="AH42" s="158"/>
      <c r="AI42" s="158"/>
      <c r="AJ42" s="158"/>
      <c r="AK42" s="158"/>
      <c r="AL42" s="158"/>
      <c r="AM42" s="158"/>
    </row>
    <row r="43" spans="1:39" x14ac:dyDescent="0.35">
      <c r="A43" s="158"/>
      <c r="B43" s="158"/>
      <c r="C43" s="158"/>
      <c r="D43" s="158"/>
      <c r="E43" s="158"/>
      <c r="F43" s="158"/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  <c r="Y43" s="158"/>
      <c r="Z43" s="158"/>
      <c r="AA43" s="158"/>
      <c r="AB43" s="158"/>
      <c r="AC43" s="158"/>
      <c r="AD43" s="158"/>
      <c r="AE43" s="158"/>
      <c r="AF43" s="158"/>
      <c r="AG43" s="158"/>
      <c r="AH43" s="158"/>
      <c r="AI43" s="158"/>
      <c r="AJ43" s="158"/>
      <c r="AK43" s="158"/>
      <c r="AL43" s="158"/>
      <c r="AM43" s="158"/>
    </row>
    <row r="44" spans="1:39" x14ac:dyDescent="0.35">
      <c r="A44" s="158"/>
      <c r="B44" s="158"/>
      <c r="C44" s="158"/>
      <c r="D44" s="158"/>
      <c r="E44" s="158"/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  <c r="Y44" s="158"/>
      <c r="Z44" s="158"/>
      <c r="AA44" s="158"/>
      <c r="AB44" s="158"/>
      <c r="AC44" s="158"/>
      <c r="AD44" s="158"/>
      <c r="AE44" s="158"/>
      <c r="AF44" s="158"/>
      <c r="AG44" s="158"/>
      <c r="AH44" s="158"/>
      <c r="AI44" s="158"/>
      <c r="AJ44" s="158"/>
      <c r="AK44" s="158"/>
      <c r="AL44" s="158"/>
      <c r="AM44" s="158"/>
    </row>
    <row r="45" spans="1:39" x14ac:dyDescent="0.35">
      <c r="A45" s="158"/>
      <c r="B45" s="158"/>
      <c r="C45" s="158"/>
      <c r="D45" s="158"/>
      <c r="E45" s="158"/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58"/>
      <c r="Q45" s="158"/>
      <c r="R45" s="158"/>
      <c r="S45" s="158"/>
      <c r="T45" s="158"/>
      <c r="U45" s="158"/>
      <c r="V45" s="158"/>
      <c r="W45" s="158"/>
      <c r="X45" s="158"/>
      <c r="Y45" s="158"/>
      <c r="Z45" s="158"/>
      <c r="AA45" s="158"/>
      <c r="AB45" s="158"/>
      <c r="AC45" s="158"/>
      <c r="AD45" s="158"/>
      <c r="AE45" s="158"/>
      <c r="AF45" s="158"/>
      <c r="AG45" s="158"/>
      <c r="AH45" s="158"/>
      <c r="AI45" s="158"/>
      <c r="AJ45" s="158"/>
      <c r="AK45" s="158"/>
      <c r="AL45" s="158"/>
      <c r="AM45" s="158"/>
    </row>
    <row r="46" spans="1:39" x14ac:dyDescent="0.35">
      <c r="A46" s="158"/>
      <c r="B46" s="158"/>
      <c r="C46" s="158"/>
      <c r="D46" s="158"/>
      <c r="E46" s="158"/>
      <c r="F46" s="158"/>
      <c r="G46" s="158"/>
      <c r="H46" s="158"/>
      <c r="I46" s="158"/>
      <c r="J46" s="158"/>
      <c r="K46" s="158"/>
      <c r="L46" s="158"/>
      <c r="M46" s="158"/>
      <c r="N46" s="158"/>
      <c r="O46" s="158"/>
      <c r="P46" s="158"/>
      <c r="Q46" s="158"/>
      <c r="R46" s="158"/>
      <c r="S46" s="158"/>
      <c r="T46" s="158"/>
      <c r="U46" s="158"/>
      <c r="V46" s="158"/>
      <c r="W46" s="158"/>
      <c r="X46" s="158"/>
      <c r="Y46" s="158"/>
      <c r="Z46" s="158"/>
      <c r="AA46" s="158"/>
      <c r="AB46" s="158"/>
      <c r="AC46" s="158"/>
      <c r="AD46" s="158"/>
      <c r="AE46" s="158"/>
      <c r="AF46" s="158"/>
      <c r="AG46" s="158"/>
      <c r="AH46" s="158"/>
      <c r="AI46" s="158"/>
      <c r="AJ46" s="158"/>
      <c r="AK46" s="158"/>
      <c r="AL46" s="158"/>
      <c r="AM46" s="158"/>
    </row>
    <row r="47" spans="1:39" x14ac:dyDescent="0.35">
      <c r="A47" s="158"/>
      <c r="B47" s="158"/>
      <c r="C47" s="158"/>
      <c r="D47" s="158"/>
      <c r="E47" s="158"/>
      <c r="F47" s="158"/>
      <c r="G47" s="158"/>
      <c r="H47" s="158"/>
      <c r="I47" s="158"/>
      <c r="J47" s="158"/>
      <c r="K47" s="158"/>
      <c r="L47" s="158"/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158"/>
      <c r="Z47" s="158"/>
      <c r="AA47" s="158"/>
      <c r="AB47" s="158"/>
      <c r="AC47" s="158"/>
      <c r="AD47" s="158"/>
      <c r="AE47" s="158"/>
      <c r="AF47" s="158"/>
      <c r="AG47" s="158"/>
      <c r="AH47" s="158"/>
      <c r="AI47" s="158"/>
      <c r="AJ47" s="158"/>
      <c r="AK47" s="158"/>
      <c r="AL47" s="158"/>
      <c r="AM47" s="158"/>
    </row>
    <row r="48" spans="1:39" x14ac:dyDescent="0.35">
      <c r="A48" s="158"/>
      <c r="B48" s="158"/>
      <c r="C48" s="158"/>
      <c r="D48" s="158"/>
      <c r="E48" s="158"/>
      <c r="F48" s="158"/>
      <c r="G48" s="158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58"/>
      <c r="Y48" s="158"/>
      <c r="Z48" s="158"/>
      <c r="AA48" s="158"/>
      <c r="AB48" s="158"/>
      <c r="AC48" s="158"/>
      <c r="AD48" s="158"/>
      <c r="AE48" s="158"/>
      <c r="AF48" s="158"/>
      <c r="AG48" s="158"/>
      <c r="AH48" s="158"/>
      <c r="AI48" s="158"/>
      <c r="AJ48" s="158"/>
      <c r="AK48" s="158"/>
      <c r="AL48" s="158"/>
      <c r="AM48" s="158"/>
    </row>
    <row r="49" spans="1:39" x14ac:dyDescent="0.35">
      <c r="A49" s="158"/>
      <c r="B49" s="158"/>
      <c r="C49" s="158"/>
      <c r="D49" s="158"/>
      <c r="E49" s="158"/>
      <c r="F49" s="158"/>
      <c r="G49" s="158"/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58"/>
      <c r="Z49" s="158"/>
      <c r="AA49" s="158"/>
      <c r="AB49" s="158"/>
      <c r="AC49" s="158"/>
      <c r="AD49" s="158"/>
      <c r="AE49" s="158"/>
      <c r="AF49" s="158"/>
      <c r="AG49" s="158"/>
      <c r="AH49" s="158"/>
      <c r="AI49" s="158"/>
      <c r="AJ49" s="158"/>
      <c r="AK49" s="158"/>
      <c r="AL49" s="158"/>
      <c r="AM49" s="158"/>
    </row>
    <row r="50" spans="1:39" x14ac:dyDescent="0.35">
      <c r="A50" s="158"/>
      <c r="B50" s="158"/>
      <c r="C50" s="158"/>
      <c r="D50" s="158"/>
      <c r="E50" s="158"/>
      <c r="F50" s="158"/>
      <c r="G50" s="158"/>
      <c r="H50" s="158"/>
      <c r="I50" s="158"/>
      <c r="J50" s="158"/>
      <c r="K50" s="158"/>
      <c r="L50" s="158"/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58"/>
      <c r="X50" s="158"/>
      <c r="Y50" s="158"/>
      <c r="Z50" s="158"/>
      <c r="AA50" s="158"/>
      <c r="AB50" s="158"/>
      <c r="AC50" s="158"/>
      <c r="AD50" s="158"/>
      <c r="AE50" s="158"/>
      <c r="AF50" s="158"/>
      <c r="AG50" s="158"/>
      <c r="AH50" s="158"/>
      <c r="AI50" s="158"/>
      <c r="AJ50" s="158"/>
      <c r="AK50" s="158"/>
      <c r="AL50" s="158"/>
      <c r="AM50" s="158"/>
    </row>
    <row r="51" spans="1:39" x14ac:dyDescent="0.35">
      <c r="A51" s="158"/>
      <c r="B51" s="158"/>
      <c r="C51" s="158"/>
      <c r="D51" s="158"/>
      <c r="E51" s="158"/>
      <c r="F51" s="158"/>
      <c r="G51" s="158"/>
      <c r="H51" s="158"/>
      <c r="I51" s="158"/>
      <c r="J51" s="158"/>
      <c r="K51" s="158"/>
      <c r="L51" s="158"/>
      <c r="M51" s="158"/>
      <c r="N51" s="158"/>
      <c r="O51" s="158"/>
      <c r="P51" s="158"/>
      <c r="Q51" s="158"/>
      <c r="R51" s="158"/>
      <c r="S51" s="158"/>
      <c r="T51" s="158"/>
      <c r="U51" s="158"/>
      <c r="V51" s="158"/>
      <c r="W51" s="158"/>
      <c r="X51" s="158"/>
      <c r="Y51" s="158"/>
      <c r="Z51" s="158"/>
      <c r="AA51" s="158"/>
      <c r="AB51" s="158"/>
      <c r="AC51" s="158"/>
      <c r="AD51" s="158"/>
      <c r="AE51" s="158"/>
      <c r="AF51" s="158"/>
      <c r="AG51" s="158"/>
      <c r="AH51" s="158"/>
      <c r="AI51" s="158"/>
      <c r="AJ51" s="158"/>
      <c r="AK51" s="158"/>
      <c r="AL51" s="158"/>
      <c r="AM51" s="158"/>
    </row>
    <row r="52" spans="1:39" x14ac:dyDescent="0.35">
      <c r="A52" s="158"/>
      <c r="B52" s="158"/>
      <c r="C52" s="158"/>
      <c r="D52" s="158"/>
      <c r="E52" s="158"/>
      <c r="F52" s="158"/>
      <c r="G52" s="158"/>
      <c r="H52" s="158"/>
      <c r="I52" s="158"/>
      <c r="J52" s="158"/>
      <c r="K52" s="158"/>
      <c r="L52" s="158"/>
      <c r="M52" s="158"/>
      <c r="N52" s="158"/>
      <c r="O52" s="158"/>
      <c r="P52" s="158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  <c r="AB52" s="158"/>
      <c r="AC52" s="158"/>
      <c r="AD52" s="158"/>
      <c r="AE52" s="158"/>
      <c r="AF52" s="158"/>
      <c r="AG52" s="158"/>
      <c r="AH52" s="158"/>
      <c r="AI52" s="158"/>
      <c r="AJ52" s="158"/>
      <c r="AK52" s="158"/>
      <c r="AL52" s="158"/>
      <c r="AM52" s="158"/>
    </row>
    <row r="53" spans="1:39" x14ac:dyDescent="0.35">
      <c r="A53" s="158"/>
      <c r="B53" s="158"/>
      <c r="C53" s="158"/>
      <c r="D53" s="158"/>
      <c r="E53" s="158"/>
      <c r="F53" s="158"/>
      <c r="G53" s="158"/>
      <c r="H53" s="158"/>
      <c r="I53" s="158"/>
      <c r="J53" s="158"/>
      <c r="K53" s="158"/>
      <c r="L53" s="158"/>
      <c r="M53" s="158"/>
      <c r="N53" s="158"/>
      <c r="O53" s="158"/>
      <c r="P53" s="158"/>
      <c r="Q53" s="158"/>
      <c r="R53" s="158"/>
      <c r="S53" s="15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58"/>
      <c r="AE53" s="158"/>
      <c r="AF53" s="158"/>
      <c r="AG53" s="158"/>
      <c r="AH53" s="158"/>
      <c r="AI53" s="158"/>
      <c r="AJ53" s="158"/>
      <c r="AK53" s="158"/>
      <c r="AL53" s="158"/>
      <c r="AM53" s="158"/>
    </row>
    <row r="54" spans="1:39" x14ac:dyDescent="0.35">
      <c r="A54" s="158"/>
      <c r="B54" s="158"/>
      <c r="C54" s="158"/>
      <c r="D54" s="158"/>
      <c r="E54" s="158"/>
      <c r="F54" s="158"/>
      <c r="G54" s="158"/>
      <c r="H54" s="158"/>
      <c r="I54" s="158"/>
      <c r="J54" s="158"/>
      <c r="K54" s="158"/>
      <c r="L54" s="158"/>
      <c r="M54" s="158"/>
      <c r="N54" s="158"/>
      <c r="O54" s="158"/>
      <c r="P54" s="158"/>
      <c r="Q54" s="158"/>
      <c r="R54" s="158"/>
      <c r="S54" s="158"/>
      <c r="T54" s="158"/>
      <c r="U54" s="158"/>
      <c r="V54" s="158"/>
      <c r="W54" s="158"/>
      <c r="X54" s="158"/>
      <c r="Y54" s="158"/>
      <c r="Z54" s="158"/>
      <c r="AA54" s="158"/>
      <c r="AB54" s="158"/>
      <c r="AC54" s="158"/>
      <c r="AD54" s="158"/>
      <c r="AE54" s="158"/>
      <c r="AF54" s="158"/>
      <c r="AG54" s="158"/>
      <c r="AH54" s="158"/>
      <c r="AI54" s="158"/>
      <c r="AJ54" s="158"/>
      <c r="AK54" s="158"/>
      <c r="AL54" s="158"/>
      <c r="AM54" s="158"/>
    </row>
    <row r="55" spans="1:39" x14ac:dyDescent="0.35">
      <c r="A55" s="158"/>
      <c r="B55" s="158"/>
      <c r="C55" s="158"/>
      <c r="D55" s="158"/>
      <c r="E55" s="158"/>
      <c r="F55" s="158"/>
      <c r="G55" s="158"/>
      <c r="H55" s="158"/>
      <c r="I55" s="158"/>
      <c r="J55" s="158"/>
      <c r="K55" s="158"/>
      <c r="L55" s="158"/>
      <c r="M55" s="158"/>
      <c r="N55" s="158"/>
      <c r="O55" s="158"/>
      <c r="P55" s="158"/>
      <c r="Q55" s="158"/>
      <c r="R55" s="158"/>
      <c r="S55" s="158"/>
      <c r="T55" s="158"/>
      <c r="U55" s="158"/>
      <c r="V55" s="158"/>
      <c r="W55" s="158"/>
      <c r="X55" s="158"/>
      <c r="Y55" s="158"/>
      <c r="Z55" s="158"/>
      <c r="AA55" s="158"/>
      <c r="AB55" s="158"/>
      <c r="AC55" s="158"/>
      <c r="AD55" s="158"/>
      <c r="AE55" s="158"/>
      <c r="AF55" s="158"/>
      <c r="AG55" s="158"/>
      <c r="AH55" s="158"/>
      <c r="AI55" s="158"/>
      <c r="AJ55" s="158"/>
      <c r="AK55" s="158"/>
      <c r="AL55" s="158"/>
      <c r="AM55" s="158"/>
    </row>
    <row r="56" spans="1:39" x14ac:dyDescent="0.35">
      <c r="A56" s="158"/>
      <c r="B56" s="158"/>
      <c r="C56" s="158"/>
      <c r="D56" s="158"/>
      <c r="E56" s="158"/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  <c r="Y56" s="158"/>
      <c r="Z56" s="158"/>
      <c r="AA56" s="158"/>
      <c r="AB56" s="158"/>
      <c r="AC56" s="158"/>
      <c r="AD56" s="158"/>
      <c r="AE56" s="158"/>
      <c r="AF56" s="158"/>
      <c r="AG56" s="158"/>
      <c r="AH56" s="158"/>
      <c r="AI56" s="158"/>
      <c r="AJ56" s="158"/>
      <c r="AK56" s="158"/>
      <c r="AL56" s="158"/>
      <c r="AM56" s="158"/>
    </row>
    <row r="57" spans="1:39" x14ac:dyDescent="0.35">
      <c r="A57" s="158"/>
      <c r="B57" s="158"/>
      <c r="C57" s="158"/>
      <c r="D57" s="158"/>
      <c r="E57" s="158"/>
      <c r="F57" s="158"/>
      <c r="G57" s="158"/>
      <c r="H57" s="158"/>
      <c r="I57" s="158"/>
      <c r="J57" s="158"/>
      <c r="K57" s="158"/>
      <c r="L57" s="158"/>
      <c r="M57" s="158"/>
      <c r="N57" s="158"/>
      <c r="O57" s="158"/>
      <c r="P57" s="158"/>
      <c r="Q57" s="158"/>
      <c r="R57" s="158"/>
      <c r="S57" s="158"/>
      <c r="T57" s="158"/>
      <c r="U57" s="158"/>
      <c r="V57" s="158"/>
      <c r="W57" s="158"/>
      <c r="X57" s="158"/>
      <c r="Y57" s="158"/>
      <c r="Z57" s="158"/>
      <c r="AA57" s="158"/>
      <c r="AB57" s="158"/>
      <c r="AC57" s="158"/>
      <c r="AD57" s="158"/>
      <c r="AE57" s="158"/>
      <c r="AF57" s="158"/>
      <c r="AG57" s="158"/>
      <c r="AH57" s="158"/>
      <c r="AI57" s="158"/>
      <c r="AJ57" s="158"/>
      <c r="AK57" s="158"/>
      <c r="AL57" s="158"/>
      <c r="AM57" s="158"/>
    </row>
    <row r="58" spans="1:39" x14ac:dyDescent="0.35">
      <c r="A58" s="158"/>
      <c r="B58" s="158"/>
      <c r="C58" s="158"/>
      <c r="D58" s="158"/>
      <c r="E58" s="158"/>
      <c r="F58" s="158"/>
      <c r="G58" s="158"/>
      <c r="H58" s="158"/>
      <c r="I58" s="158"/>
      <c r="J58" s="158"/>
      <c r="K58" s="158"/>
      <c r="L58" s="158"/>
      <c r="M58" s="158"/>
      <c r="N58" s="158"/>
      <c r="O58" s="158"/>
      <c r="P58" s="158"/>
      <c r="Q58" s="158"/>
      <c r="R58" s="158"/>
      <c r="S58" s="158"/>
      <c r="T58" s="158"/>
      <c r="U58" s="158"/>
      <c r="V58" s="158"/>
      <c r="W58" s="158"/>
      <c r="X58" s="158"/>
      <c r="Y58" s="158"/>
      <c r="Z58" s="158"/>
      <c r="AA58" s="158"/>
      <c r="AB58" s="158"/>
      <c r="AC58" s="158"/>
      <c r="AD58" s="158"/>
      <c r="AE58" s="158"/>
      <c r="AF58" s="158"/>
      <c r="AG58" s="158"/>
      <c r="AH58" s="158"/>
      <c r="AI58" s="158"/>
      <c r="AJ58" s="158"/>
      <c r="AK58" s="158"/>
      <c r="AL58" s="158"/>
      <c r="AM58" s="158"/>
    </row>
    <row r="59" spans="1:39" x14ac:dyDescent="0.35">
      <c r="A59" s="158"/>
      <c r="B59" s="158"/>
      <c r="C59" s="158"/>
      <c r="D59" s="158"/>
      <c r="E59" s="158"/>
      <c r="F59" s="158"/>
      <c r="G59" s="158"/>
      <c r="H59" s="158"/>
      <c r="I59" s="158"/>
      <c r="J59" s="158"/>
      <c r="K59" s="158"/>
      <c r="L59" s="158"/>
      <c r="M59" s="158"/>
      <c r="N59" s="158"/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58"/>
      <c r="Z59" s="158"/>
      <c r="AA59" s="158"/>
      <c r="AB59" s="158"/>
      <c r="AC59" s="158"/>
      <c r="AD59" s="158"/>
      <c r="AE59" s="158"/>
      <c r="AF59" s="158"/>
      <c r="AG59" s="158"/>
      <c r="AH59" s="158"/>
      <c r="AI59" s="158"/>
      <c r="AJ59" s="158"/>
      <c r="AK59" s="158"/>
      <c r="AL59" s="158"/>
      <c r="AM59" s="158"/>
    </row>
    <row r="60" spans="1:39" x14ac:dyDescent="0.35">
      <c r="A60" s="158"/>
      <c r="B60" s="158"/>
      <c r="C60" s="158"/>
      <c r="D60" s="158"/>
      <c r="E60" s="158"/>
      <c r="F60" s="158"/>
      <c r="G60" s="158"/>
      <c r="H60" s="158"/>
      <c r="I60" s="158"/>
      <c r="J60" s="158"/>
      <c r="K60" s="158"/>
      <c r="L60" s="158"/>
      <c r="M60" s="158"/>
      <c r="N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158"/>
      <c r="Z60" s="158"/>
      <c r="AA60" s="158"/>
      <c r="AB60" s="158"/>
      <c r="AC60" s="158"/>
      <c r="AD60" s="158"/>
      <c r="AE60" s="158"/>
      <c r="AF60" s="158"/>
      <c r="AG60" s="158"/>
      <c r="AH60" s="158"/>
      <c r="AI60" s="158"/>
      <c r="AJ60" s="158"/>
      <c r="AK60" s="158"/>
      <c r="AL60" s="158"/>
      <c r="AM60" s="158"/>
    </row>
    <row r="61" spans="1:39" x14ac:dyDescent="0.35">
      <c r="A61" s="158"/>
      <c r="B61" s="158"/>
      <c r="C61" s="158"/>
      <c r="D61" s="158"/>
      <c r="E61" s="158"/>
      <c r="F61" s="158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158"/>
      <c r="U61" s="158"/>
      <c r="V61" s="158"/>
      <c r="W61" s="158"/>
      <c r="X61" s="158"/>
      <c r="Y61" s="158"/>
      <c r="Z61" s="158"/>
      <c r="AA61" s="158"/>
      <c r="AB61" s="158"/>
      <c r="AC61" s="158"/>
      <c r="AD61" s="158"/>
      <c r="AE61" s="158"/>
      <c r="AF61" s="158"/>
      <c r="AG61" s="158"/>
      <c r="AH61" s="158"/>
      <c r="AI61" s="158"/>
      <c r="AJ61" s="158"/>
      <c r="AK61" s="158"/>
      <c r="AL61" s="158"/>
      <c r="AM61" s="158"/>
    </row>
    <row r="62" spans="1:39" x14ac:dyDescent="0.35">
      <c r="A62" s="158"/>
      <c r="B62" s="158"/>
      <c r="C62" s="158"/>
      <c r="D62" s="158"/>
      <c r="E62" s="158"/>
      <c r="F62" s="158"/>
      <c r="G62" s="158"/>
      <c r="H62" s="158"/>
      <c r="I62" s="158"/>
      <c r="J62" s="158"/>
      <c r="K62" s="158"/>
      <c r="L62" s="158"/>
      <c r="M62" s="158"/>
      <c r="N62" s="158"/>
      <c r="O62" s="158"/>
      <c r="P62" s="158"/>
      <c r="Q62" s="158"/>
      <c r="R62" s="158"/>
      <c r="S62" s="158"/>
      <c r="T62" s="158"/>
      <c r="U62" s="158"/>
      <c r="V62" s="158"/>
      <c r="W62" s="158"/>
      <c r="X62" s="158"/>
      <c r="Y62" s="158"/>
      <c r="Z62" s="158"/>
      <c r="AA62" s="158"/>
      <c r="AB62" s="158"/>
      <c r="AC62" s="158"/>
      <c r="AD62" s="158"/>
      <c r="AE62" s="158"/>
      <c r="AF62" s="158"/>
      <c r="AG62" s="158"/>
      <c r="AH62" s="158"/>
      <c r="AI62" s="158"/>
      <c r="AJ62" s="158"/>
      <c r="AK62" s="158"/>
      <c r="AL62" s="158"/>
      <c r="AM62" s="158"/>
    </row>
    <row r="63" spans="1:39" x14ac:dyDescent="0.35">
      <c r="A63" s="158"/>
      <c r="B63" s="158"/>
      <c r="C63" s="158"/>
      <c r="D63" s="158"/>
      <c r="E63" s="158"/>
      <c r="F63" s="158"/>
      <c r="G63" s="158"/>
      <c r="H63" s="158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58"/>
      <c r="Z63" s="158"/>
      <c r="AA63" s="158"/>
      <c r="AB63" s="158"/>
      <c r="AC63" s="158"/>
      <c r="AD63" s="158"/>
      <c r="AE63" s="158"/>
      <c r="AF63" s="158"/>
      <c r="AG63" s="158"/>
      <c r="AH63" s="158"/>
      <c r="AI63" s="158"/>
      <c r="AJ63" s="158"/>
      <c r="AK63" s="158"/>
      <c r="AL63" s="158"/>
      <c r="AM63" s="158"/>
    </row>
    <row r="64" spans="1:39" x14ac:dyDescent="0.35">
      <c r="A64" s="158"/>
      <c r="B64" s="158"/>
      <c r="C64" s="158"/>
      <c r="D64" s="158"/>
      <c r="E64" s="158"/>
      <c r="F64" s="158"/>
      <c r="G64" s="158"/>
      <c r="H64" s="158"/>
      <c r="I64" s="158"/>
      <c r="J64" s="158"/>
      <c r="K64" s="158"/>
      <c r="L64" s="158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8"/>
      <c r="X64" s="158"/>
      <c r="Y64" s="158"/>
      <c r="Z64" s="158"/>
      <c r="AA64" s="158"/>
      <c r="AB64" s="158"/>
      <c r="AC64" s="158"/>
      <c r="AD64" s="158"/>
      <c r="AE64" s="158"/>
      <c r="AF64" s="158"/>
      <c r="AG64" s="158"/>
      <c r="AH64" s="158"/>
      <c r="AI64" s="158"/>
      <c r="AJ64" s="158"/>
      <c r="AK64" s="158"/>
      <c r="AL64" s="158"/>
      <c r="AM64" s="158"/>
    </row>
    <row r="65" spans="1:39" x14ac:dyDescent="0.35">
      <c r="A65" s="158"/>
      <c r="B65" s="158"/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158"/>
      <c r="N65" s="158"/>
      <c r="O65" s="158"/>
      <c r="P65" s="158"/>
      <c r="Q65" s="158"/>
      <c r="R65" s="158"/>
      <c r="S65" s="158"/>
      <c r="T65" s="158"/>
      <c r="U65" s="158"/>
      <c r="V65" s="158"/>
      <c r="W65" s="158"/>
      <c r="X65" s="158"/>
      <c r="Y65" s="158"/>
      <c r="Z65" s="158"/>
      <c r="AA65" s="158"/>
      <c r="AB65" s="158"/>
      <c r="AC65" s="158"/>
      <c r="AD65" s="158"/>
      <c r="AE65" s="158"/>
      <c r="AF65" s="158"/>
      <c r="AG65" s="158"/>
      <c r="AH65" s="158"/>
      <c r="AI65" s="158"/>
      <c r="AJ65" s="158"/>
      <c r="AK65" s="158"/>
      <c r="AL65" s="158"/>
      <c r="AM65" s="158"/>
    </row>
    <row r="66" spans="1:39" x14ac:dyDescent="0.35">
      <c r="A66" s="158"/>
      <c r="B66" s="158"/>
      <c r="C66" s="158"/>
      <c r="D66" s="158"/>
      <c r="E66" s="158"/>
      <c r="F66" s="158"/>
      <c r="G66" s="158"/>
      <c r="H66" s="158"/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58"/>
      <c r="Z66" s="158"/>
      <c r="AA66" s="158"/>
      <c r="AB66" s="158"/>
      <c r="AC66" s="158"/>
      <c r="AD66" s="158"/>
      <c r="AE66" s="158"/>
      <c r="AF66" s="158"/>
      <c r="AG66" s="158"/>
      <c r="AH66" s="158"/>
      <c r="AI66" s="158"/>
      <c r="AJ66" s="158"/>
      <c r="AK66" s="158"/>
      <c r="AL66" s="158"/>
      <c r="AM66" s="158"/>
    </row>
    <row r="67" spans="1:39" x14ac:dyDescent="0.35">
      <c r="A67" s="158"/>
      <c r="B67" s="158"/>
      <c r="C67" s="158"/>
      <c r="D67" s="158"/>
      <c r="E67" s="158"/>
      <c r="F67" s="158"/>
      <c r="G67" s="158"/>
      <c r="H67" s="158"/>
      <c r="I67" s="158"/>
      <c r="J67" s="158"/>
      <c r="K67" s="158"/>
      <c r="L67" s="158"/>
      <c r="M67" s="158"/>
      <c r="N67" s="158"/>
      <c r="O67" s="158"/>
      <c r="P67" s="158"/>
      <c r="Q67" s="158"/>
      <c r="R67" s="158"/>
      <c r="S67" s="158"/>
      <c r="T67" s="158"/>
      <c r="U67" s="158"/>
      <c r="V67" s="158"/>
      <c r="W67" s="158"/>
      <c r="X67" s="158"/>
      <c r="Y67" s="158"/>
      <c r="Z67" s="158"/>
      <c r="AA67" s="158"/>
      <c r="AB67" s="158"/>
      <c r="AC67" s="158"/>
      <c r="AD67" s="158"/>
      <c r="AE67" s="158"/>
      <c r="AF67" s="158"/>
      <c r="AG67" s="158"/>
      <c r="AH67" s="158"/>
      <c r="AI67" s="158"/>
      <c r="AJ67" s="158"/>
      <c r="AK67" s="158"/>
      <c r="AL67" s="158"/>
      <c r="AM67" s="158"/>
    </row>
    <row r="68" spans="1:39" x14ac:dyDescent="0.35">
      <c r="A68" s="158"/>
      <c r="B68" s="158"/>
      <c r="C68" s="158"/>
      <c r="D68" s="158"/>
      <c r="E68" s="158"/>
      <c r="F68" s="158"/>
      <c r="G68" s="158"/>
      <c r="H68" s="158"/>
      <c r="I68" s="158"/>
      <c r="J68" s="158"/>
      <c r="K68" s="158"/>
      <c r="L68" s="158"/>
      <c r="M68" s="158"/>
      <c r="N68" s="158"/>
      <c r="O68" s="158"/>
      <c r="P68" s="158"/>
      <c r="Q68" s="158"/>
      <c r="R68" s="158"/>
      <c r="S68" s="158"/>
      <c r="T68" s="158"/>
      <c r="U68" s="158"/>
      <c r="V68" s="158"/>
      <c r="W68" s="158"/>
      <c r="X68" s="158"/>
      <c r="Y68" s="158"/>
      <c r="Z68" s="158"/>
      <c r="AA68" s="158"/>
      <c r="AB68" s="158"/>
      <c r="AC68" s="158"/>
      <c r="AD68" s="158"/>
      <c r="AE68" s="158"/>
      <c r="AF68" s="158"/>
      <c r="AG68" s="158"/>
      <c r="AH68" s="158"/>
      <c r="AI68" s="158"/>
      <c r="AJ68" s="158"/>
      <c r="AK68" s="158"/>
      <c r="AL68" s="158"/>
      <c r="AM68" s="158"/>
    </row>
    <row r="69" spans="1:39" x14ac:dyDescent="0.35">
      <c r="A69" s="158"/>
      <c r="B69" s="158"/>
      <c r="C69" s="158"/>
      <c r="D69" s="158"/>
      <c r="E69" s="158"/>
      <c r="F69" s="158"/>
      <c r="G69" s="158"/>
      <c r="H69" s="158"/>
      <c r="I69" s="158"/>
      <c r="J69" s="158"/>
      <c r="K69" s="158"/>
      <c r="L69" s="15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  <c r="Y69" s="158"/>
      <c r="Z69" s="158"/>
      <c r="AA69" s="158"/>
      <c r="AB69" s="158"/>
      <c r="AC69" s="158"/>
      <c r="AD69" s="158"/>
      <c r="AE69" s="158"/>
      <c r="AF69" s="158"/>
      <c r="AG69" s="158"/>
      <c r="AH69" s="158"/>
      <c r="AI69" s="158"/>
      <c r="AJ69" s="158"/>
      <c r="AK69" s="158"/>
      <c r="AL69" s="158"/>
      <c r="AM69" s="158"/>
    </row>
    <row r="70" spans="1:39" x14ac:dyDescent="0.35">
      <c r="A70" s="158"/>
      <c r="B70" s="158"/>
      <c r="C70" s="158"/>
      <c r="D70" s="158"/>
      <c r="E70" s="158"/>
      <c r="F70" s="158"/>
      <c r="G70" s="158"/>
      <c r="H70" s="158"/>
      <c r="I70" s="158"/>
      <c r="J70" s="158"/>
      <c r="K70" s="158"/>
      <c r="L70" s="158"/>
      <c r="M70" s="158"/>
      <c r="N70" s="158"/>
      <c r="O70" s="158"/>
      <c r="P70" s="158"/>
      <c r="Q70" s="158"/>
      <c r="R70" s="158"/>
      <c r="S70" s="158"/>
      <c r="T70" s="158"/>
      <c r="U70" s="158"/>
      <c r="V70" s="158"/>
      <c r="W70" s="158"/>
      <c r="X70" s="158"/>
      <c r="Y70" s="158"/>
      <c r="Z70" s="158"/>
      <c r="AA70" s="158"/>
      <c r="AB70" s="158"/>
      <c r="AC70" s="158"/>
      <c r="AD70" s="158"/>
      <c r="AE70" s="158"/>
      <c r="AF70" s="158"/>
      <c r="AG70" s="158"/>
      <c r="AH70" s="158"/>
      <c r="AI70" s="158"/>
      <c r="AJ70" s="158"/>
      <c r="AK70" s="158"/>
      <c r="AL70" s="158"/>
      <c r="AM70" s="158"/>
    </row>
    <row r="71" spans="1:39" x14ac:dyDescent="0.35">
      <c r="A71" s="158"/>
      <c r="B71" s="158"/>
      <c r="C71" s="158"/>
      <c r="D71" s="158"/>
      <c r="E71" s="158"/>
      <c r="F71" s="158"/>
      <c r="G71" s="158"/>
      <c r="H71" s="158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158"/>
      <c r="Z71" s="158"/>
      <c r="AA71" s="158"/>
      <c r="AB71" s="158"/>
      <c r="AC71" s="158"/>
      <c r="AD71" s="158"/>
      <c r="AE71" s="158"/>
      <c r="AF71" s="158"/>
      <c r="AG71" s="158"/>
      <c r="AH71" s="158"/>
      <c r="AI71" s="158"/>
      <c r="AJ71" s="158"/>
      <c r="AK71" s="158"/>
      <c r="AL71" s="158"/>
      <c r="AM71" s="158"/>
    </row>
    <row r="72" spans="1:39" x14ac:dyDescent="0.35">
      <c r="A72" s="158"/>
      <c r="B72" s="158"/>
      <c r="C72" s="158"/>
      <c r="D72" s="158"/>
      <c r="E72" s="158"/>
      <c r="F72" s="158"/>
      <c r="G72" s="158"/>
      <c r="H72" s="158"/>
      <c r="I72" s="158"/>
      <c r="J72" s="158"/>
      <c r="K72" s="158"/>
      <c r="L72" s="158"/>
      <c r="M72" s="158"/>
      <c r="N72" s="158"/>
      <c r="O72" s="158"/>
      <c r="P72" s="158"/>
      <c r="Q72" s="158"/>
      <c r="R72" s="158"/>
      <c r="S72" s="158"/>
      <c r="T72" s="158"/>
      <c r="U72" s="158"/>
      <c r="V72" s="158"/>
      <c r="W72" s="158"/>
      <c r="X72" s="158"/>
      <c r="Y72" s="158"/>
      <c r="Z72" s="158"/>
      <c r="AA72" s="158"/>
      <c r="AB72" s="158"/>
      <c r="AC72" s="158"/>
      <c r="AD72" s="158"/>
      <c r="AE72" s="158"/>
      <c r="AF72" s="158"/>
      <c r="AG72" s="158"/>
      <c r="AH72" s="158"/>
      <c r="AI72" s="158"/>
      <c r="AJ72" s="158"/>
      <c r="AK72" s="158"/>
      <c r="AL72" s="158"/>
      <c r="AM72" s="158"/>
    </row>
    <row r="73" spans="1:39" x14ac:dyDescent="0.35">
      <c r="A73" s="158"/>
      <c r="B73" s="158"/>
      <c r="C73" s="158"/>
      <c r="D73" s="158"/>
      <c r="E73" s="158"/>
      <c r="F73" s="158"/>
      <c r="G73" s="158"/>
      <c r="H73" s="158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8"/>
      <c r="X73" s="158"/>
      <c r="Y73" s="158"/>
      <c r="Z73" s="158"/>
      <c r="AA73" s="158"/>
      <c r="AB73" s="158"/>
      <c r="AC73" s="158"/>
      <c r="AD73" s="158"/>
      <c r="AE73" s="158"/>
      <c r="AF73" s="158"/>
      <c r="AG73" s="158"/>
      <c r="AH73" s="158"/>
      <c r="AI73" s="158"/>
      <c r="AJ73" s="158"/>
      <c r="AK73" s="158"/>
      <c r="AL73" s="158"/>
      <c r="AM73" s="158"/>
    </row>
    <row r="74" spans="1:39" x14ac:dyDescent="0.35">
      <c r="A74" s="158"/>
      <c r="B74" s="158"/>
      <c r="C74" s="158"/>
      <c r="D74" s="158"/>
      <c r="E74" s="158"/>
      <c r="F74" s="158"/>
      <c r="G74" s="158"/>
      <c r="H74" s="158"/>
      <c r="I74" s="158"/>
      <c r="J74" s="158"/>
      <c r="K74" s="158"/>
      <c r="L74" s="158"/>
      <c r="M74" s="158"/>
      <c r="N74" s="158"/>
      <c r="O74" s="158"/>
      <c r="P74" s="158"/>
      <c r="Q74" s="158"/>
      <c r="R74" s="158"/>
      <c r="S74" s="158"/>
      <c r="T74" s="158"/>
      <c r="U74" s="158"/>
      <c r="V74" s="158"/>
      <c r="W74" s="158"/>
      <c r="X74" s="158"/>
      <c r="Y74" s="158"/>
      <c r="Z74" s="158"/>
      <c r="AA74" s="158"/>
      <c r="AB74" s="158"/>
      <c r="AC74" s="158"/>
      <c r="AD74" s="158"/>
      <c r="AE74" s="158"/>
      <c r="AF74" s="158"/>
      <c r="AG74" s="158"/>
      <c r="AH74" s="158"/>
      <c r="AI74" s="158"/>
      <c r="AJ74" s="158"/>
      <c r="AK74" s="158"/>
      <c r="AL74" s="158"/>
      <c r="AM74" s="158"/>
    </row>
    <row r="75" spans="1:39" x14ac:dyDescent="0.35">
      <c r="A75" s="158"/>
      <c r="B75" s="158"/>
      <c r="C75" s="158"/>
      <c r="D75" s="158"/>
      <c r="E75" s="158"/>
      <c r="F75" s="158"/>
      <c r="G75" s="158"/>
      <c r="H75" s="158"/>
      <c r="I75" s="158"/>
      <c r="J75" s="158"/>
      <c r="K75" s="158"/>
      <c r="L75" s="158"/>
      <c r="M75" s="158"/>
      <c r="N75" s="158"/>
      <c r="O75" s="158"/>
      <c r="P75" s="158"/>
      <c r="Q75" s="158"/>
      <c r="R75" s="158"/>
      <c r="S75" s="158"/>
      <c r="T75" s="158"/>
      <c r="U75" s="158"/>
      <c r="V75" s="158"/>
      <c r="W75" s="158"/>
      <c r="X75" s="158"/>
      <c r="Y75" s="158"/>
      <c r="Z75" s="158"/>
      <c r="AA75" s="158"/>
      <c r="AB75" s="158"/>
      <c r="AC75" s="158"/>
      <c r="AD75" s="158"/>
      <c r="AE75" s="158"/>
      <c r="AF75" s="158"/>
      <c r="AG75" s="158"/>
      <c r="AH75" s="158"/>
      <c r="AI75" s="158"/>
      <c r="AJ75" s="158"/>
      <c r="AK75" s="158"/>
      <c r="AL75" s="158"/>
      <c r="AM75" s="158"/>
    </row>
    <row r="76" spans="1:39" x14ac:dyDescent="0.35">
      <c r="A76" s="158"/>
      <c r="B76" s="158"/>
      <c r="C76" s="158"/>
      <c r="D76" s="158"/>
      <c r="E76" s="158"/>
      <c r="F76" s="158"/>
      <c r="G76" s="158"/>
      <c r="H76" s="158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8"/>
      <c r="X76" s="158"/>
      <c r="Y76" s="158"/>
      <c r="Z76" s="158"/>
      <c r="AA76" s="158"/>
      <c r="AB76" s="158"/>
      <c r="AC76" s="158"/>
      <c r="AD76" s="158"/>
      <c r="AE76" s="158"/>
      <c r="AF76" s="158"/>
      <c r="AG76" s="158"/>
      <c r="AH76" s="158"/>
      <c r="AI76" s="158"/>
      <c r="AJ76" s="158"/>
      <c r="AK76" s="158"/>
      <c r="AL76" s="158"/>
      <c r="AM76" s="158"/>
    </row>
    <row r="77" spans="1:39" x14ac:dyDescent="0.35">
      <c r="A77" s="158"/>
      <c r="B77" s="158"/>
      <c r="C77" s="158"/>
      <c r="D77" s="158"/>
      <c r="E77" s="158"/>
      <c r="F77" s="158"/>
      <c r="G77" s="158"/>
      <c r="H77" s="158"/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8"/>
      <c r="X77" s="158"/>
      <c r="Y77" s="158"/>
      <c r="Z77" s="158"/>
      <c r="AA77" s="158"/>
      <c r="AB77" s="158"/>
      <c r="AC77" s="158"/>
      <c r="AD77" s="158"/>
      <c r="AE77" s="158"/>
      <c r="AF77" s="158"/>
      <c r="AG77" s="158"/>
      <c r="AH77" s="158"/>
      <c r="AI77" s="158"/>
      <c r="AJ77" s="158"/>
      <c r="AK77" s="158"/>
      <c r="AL77" s="158"/>
      <c r="AM77" s="158"/>
    </row>
    <row r="78" spans="1:39" x14ac:dyDescent="0.35">
      <c r="A78" s="158"/>
      <c r="B78" s="158"/>
      <c r="C78" s="158"/>
      <c r="D78" s="158"/>
      <c r="E78" s="158"/>
      <c r="F78" s="158"/>
      <c r="G78" s="158"/>
      <c r="H78" s="158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58"/>
      <c r="Z78" s="158"/>
      <c r="AA78" s="158"/>
      <c r="AB78" s="158"/>
      <c r="AC78" s="158"/>
      <c r="AD78" s="158"/>
      <c r="AE78" s="158"/>
      <c r="AF78" s="158"/>
      <c r="AG78" s="158"/>
      <c r="AH78" s="158"/>
      <c r="AI78" s="158"/>
      <c r="AJ78" s="158"/>
      <c r="AK78" s="158"/>
      <c r="AL78" s="158"/>
      <c r="AM78" s="158"/>
    </row>
    <row r="79" spans="1:39" x14ac:dyDescent="0.35">
      <c r="A79" s="158"/>
      <c r="B79" s="158"/>
      <c r="C79" s="158"/>
      <c r="D79" s="158"/>
      <c r="E79" s="158"/>
      <c r="F79" s="158"/>
      <c r="G79" s="158"/>
      <c r="H79" s="158"/>
      <c r="I79" s="158"/>
      <c r="J79" s="158"/>
      <c r="K79" s="158"/>
      <c r="L79" s="158"/>
      <c r="M79" s="158"/>
      <c r="N79" s="158"/>
      <c r="O79" s="158"/>
      <c r="P79" s="158"/>
      <c r="Q79" s="158"/>
      <c r="R79" s="158"/>
      <c r="S79" s="158"/>
      <c r="T79" s="158"/>
      <c r="U79" s="158"/>
      <c r="V79" s="158"/>
      <c r="W79" s="158"/>
      <c r="X79" s="158"/>
      <c r="Y79" s="158"/>
      <c r="Z79" s="158"/>
      <c r="AA79" s="158"/>
      <c r="AB79" s="158"/>
      <c r="AC79" s="158"/>
      <c r="AD79" s="158"/>
      <c r="AE79" s="158"/>
      <c r="AF79" s="158"/>
      <c r="AG79" s="158"/>
      <c r="AH79" s="158"/>
      <c r="AI79" s="158"/>
      <c r="AJ79" s="158"/>
      <c r="AK79" s="158"/>
      <c r="AL79" s="158"/>
      <c r="AM79" s="158"/>
    </row>
    <row r="80" spans="1:39" x14ac:dyDescent="0.35">
      <c r="A80" s="158"/>
      <c r="B80" s="158"/>
      <c r="C80" s="158"/>
      <c r="D80" s="158"/>
      <c r="E80" s="158"/>
      <c r="F80" s="158"/>
      <c r="G80" s="158"/>
      <c r="H80" s="158"/>
      <c r="I80" s="158"/>
      <c r="J80" s="158"/>
      <c r="K80" s="158"/>
      <c r="L80" s="158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8"/>
      <c r="Y80" s="158"/>
      <c r="Z80" s="158"/>
      <c r="AA80" s="158"/>
      <c r="AB80" s="158"/>
      <c r="AC80" s="158"/>
      <c r="AD80" s="158"/>
      <c r="AE80" s="158"/>
      <c r="AF80" s="158"/>
      <c r="AG80" s="158"/>
      <c r="AH80" s="158"/>
      <c r="AI80" s="158"/>
      <c r="AJ80" s="158"/>
      <c r="AK80" s="158"/>
      <c r="AL80" s="158"/>
      <c r="AM80" s="158"/>
    </row>
    <row r="81" spans="1:39" x14ac:dyDescent="0.35">
      <c r="A81" s="158"/>
      <c r="B81" s="158"/>
      <c r="C81" s="158"/>
      <c r="D81" s="158"/>
      <c r="E81" s="158"/>
      <c r="F81" s="158"/>
      <c r="G81" s="158"/>
      <c r="H81" s="158"/>
      <c r="I81" s="158"/>
      <c r="J81" s="158"/>
      <c r="K81" s="158"/>
      <c r="L81" s="158"/>
      <c r="M81" s="158"/>
      <c r="N81" s="158"/>
      <c r="O81" s="158"/>
      <c r="P81" s="158"/>
      <c r="Q81" s="158"/>
      <c r="R81" s="158"/>
      <c r="S81" s="158"/>
      <c r="T81" s="158"/>
      <c r="U81" s="158"/>
      <c r="V81" s="158"/>
      <c r="W81" s="158"/>
      <c r="X81" s="158"/>
      <c r="Y81" s="158"/>
      <c r="Z81" s="158"/>
      <c r="AA81" s="158"/>
      <c r="AB81" s="158"/>
      <c r="AC81" s="158"/>
      <c r="AD81" s="158"/>
      <c r="AE81" s="158"/>
      <c r="AF81" s="158"/>
      <c r="AG81" s="158"/>
      <c r="AH81" s="158"/>
      <c r="AI81" s="158"/>
      <c r="AJ81" s="158"/>
      <c r="AK81" s="158"/>
      <c r="AL81" s="158"/>
      <c r="AM81" s="158"/>
    </row>
    <row r="82" spans="1:39" x14ac:dyDescent="0.35">
      <c r="A82" s="158"/>
      <c r="B82" s="158"/>
      <c r="C82" s="158"/>
      <c r="D82" s="158"/>
      <c r="E82" s="158"/>
      <c r="F82" s="158"/>
      <c r="G82" s="158"/>
      <c r="H82" s="158"/>
      <c r="I82" s="158"/>
      <c r="J82" s="158"/>
      <c r="K82" s="158"/>
      <c r="L82" s="158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  <c r="Y82" s="158"/>
      <c r="Z82" s="158"/>
      <c r="AA82" s="158"/>
      <c r="AB82" s="158"/>
      <c r="AC82" s="158"/>
      <c r="AD82" s="158"/>
      <c r="AE82" s="158"/>
      <c r="AF82" s="158"/>
      <c r="AG82" s="158"/>
      <c r="AH82" s="158"/>
      <c r="AI82" s="158"/>
      <c r="AJ82" s="158"/>
      <c r="AK82" s="158"/>
      <c r="AL82" s="158"/>
      <c r="AM82" s="158"/>
    </row>
    <row r="83" spans="1:39" x14ac:dyDescent="0.35">
      <c r="A83" s="158"/>
      <c r="B83" s="158"/>
      <c r="C83" s="158"/>
      <c r="D83" s="158"/>
      <c r="E83" s="158"/>
      <c r="F83" s="158"/>
      <c r="G83" s="158"/>
      <c r="H83" s="158"/>
      <c r="I83" s="158"/>
      <c r="J83" s="158"/>
      <c r="K83" s="158"/>
      <c r="L83" s="15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58"/>
      <c r="Z83" s="158"/>
      <c r="AA83" s="158"/>
      <c r="AB83" s="158"/>
      <c r="AC83" s="158"/>
      <c r="AD83" s="158"/>
      <c r="AE83" s="158"/>
      <c r="AF83" s="158"/>
      <c r="AG83" s="158"/>
      <c r="AH83" s="158"/>
      <c r="AI83" s="158"/>
      <c r="AJ83" s="158"/>
      <c r="AK83" s="158"/>
      <c r="AL83" s="158"/>
      <c r="AM83" s="158"/>
    </row>
    <row r="84" spans="1:39" x14ac:dyDescent="0.35">
      <c r="A84" s="158"/>
      <c r="B84" s="158"/>
      <c r="C84" s="158"/>
      <c r="D84" s="158"/>
      <c r="E84" s="158"/>
      <c r="F84" s="158"/>
      <c r="G84" s="158"/>
      <c r="H84" s="158"/>
      <c r="I84" s="158"/>
      <c r="J84" s="158"/>
      <c r="K84" s="158"/>
      <c r="L84" s="158"/>
      <c r="M84" s="158"/>
      <c r="N84" s="158"/>
      <c r="O84" s="158"/>
      <c r="P84" s="158"/>
      <c r="Q84" s="158"/>
      <c r="R84" s="158"/>
      <c r="S84" s="158"/>
      <c r="T84" s="158"/>
      <c r="U84" s="158"/>
      <c r="V84" s="158"/>
      <c r="W84" s="158"/>
      <c r="X84" s="158"/>
      <c r="Y84" s="158"/>
      <c r="Z84" s="158"/>
      <c r="AA84" s="158"/>
      <c r="AB84" s="158"/>
      <c r="AC84" s="158"/>
      <c r="AD84" s="158"/>
      <c r="AE84" s="158"/>
      <c r="AF84" s="158"/>
      <c r="AG84" s="158"/>
      <c r="AH84" s="158"/>
      <c r="AI84" s="158"/>
      <c r="AJ84" s="158"/>
      <c r="AK84" s="158"/>
      <c r="AL84" s="158"/>
      <c r="AM84" s="158"/>
    </row>
    <row r="85" spans="1:39" x14ac:dyDescent="0.35">
      <c r="A85" s="158"/>
      <c r="B85" s="158"/>
      <c r="C85" s="158"/>
      <c r="D85" s="158"/>
      <c r="E85" s="158"/>
      <c r="F85" s="158"/>
      <c r="G85" s="158"/>
      <c r="H85" s="158"/>
      <c r="I85" s="158"/>
      <c r="J85" s="158"/>
      <c r="K85" s="158"/>
      <c r="L85" s="158"/>
      <c r="M85" s="158"/>
      <c r="N85" s="158"/>
      <c r="O85" s="158"/>
      <c r="P85" s="158"/>
      <c r="Q85" s="158"/>
      <c r="R85" s="158"/>
      <c r="S85" s="158"/>
      <c r="T85" s="158"/>
      <c r="U85" s="158"/>
      <c r="V85" s="158"/>
      <c r="W85" s="158"/>
      <c r="X85" s="158"/>
      <c r="Y85" s="158"/>
      <c r="Z85" s="158"/>
      <c r="AA85" s="158"/>
      <c r="AB85" s="158"/>
      <c r="AC85" s="158"/>
      <c r="AD85" s="158"/>
      <c r="AE85" s="158"/>
      <c r="AF85" s="158"/>
      <c r="AG85" s="158"/>
      <c r="AH85" s="158"/>
      <c r="AI85" s="158"/>
      <c r="AJ85" s="158"/>
      <c r="AK85" s="158"/>
      <c r="AL85" s="158"/>
      <c r="AM85" s="158"/>
    </row>
    <row r="86" spans="1:39" x14ac:dyDescent="0.35">
      <c r="A86" s="158"/>
      <c r="B86" s="158"/>
      <c r="C86" s="158"/>
      <c r="D86" s="158"/>
      <c r="E86" s="158"/>
      <c r="F86" s="158"/>
      <c r="G86" s="158"/>
      <c r="H86" s="158"/>
      <c r="I86" s="158"/>
      <c r="J86" s="158"/>
      <c r="K86" s="158"/>
      <c r="L86" s="158"/>
      <c r="M86" s="158"/>
      <c r="N86" s="158"/>
      <c r="O86" s="158"/>
      <c r="P86" s="158"/>
      <c r="Q86" s="158"/>
      <c r="R86" s="158"/>
      <c r="S86" s="158"/>
      <c r="T86" s="158"/>
      <c r="U86" s="158"/>
      <c r="V86" s="158"/>
      <c r="W86" s="158"/>
      <c r="X86" s="158"/>
      <c r="Y86" s="158"/>
      <c r="Z86" s="158"/>
      <c r="AA86" s="158"/>
      <c r="AB86" s="158"/>
      <c r="AC86" s="158"/>
      <c r="AD86" s="158"/>
      <c r="AE86" s="158"/>
      <c r="AF86" s="158"/>
      <c r="AG86" s="158"/>
      <c r="AH86" s="158"/>
      <c r="AI86" s="158"/>
      <c r="AJ86" s="158"/>
      <c r="AK86" s="158"/>
      <c r="AL86" s="158"/>
      <c r="AM86" s="158"/>
    </row>
    <row r="87" spans="1:39" x14ac:dyDescent="0.35">
      <c r="A87" s="158"/>
      <c r="B87" s="158"/>
      <c r="C87" s="158"/>
      <c r="D87" s="158"/>
      <c r="E87" s="158"/>
      <c r="F87" s="158"/>
      <c r="G87" s="158"/>
      <c r="H87" s="158"/>
      <c r="I87" s="158"/>
      <c r="J87" s="158"/>
      <c r="K87" s="158"/>
      <c r="L87" s="158"/>
      <c r="M87" s="158"/>
      <c r="N87" s="158"/>
      <c r="O87" s="158"/>
      <c r="P87" s="158"/>
      <c r="Q87" s="158"/>
      <c r="R87" s="158"/>
      <c r="S87" s="158"/>
      <c r="T87" s="158"/>
      <c r="U87" s="158"/>
      <c r="V87" s="158"/>
      <c r="W87" s="158"/>
      <c r="X87" s="158"/>
      <c r="Y87" s="158"/>
      <c r="Z87" s="158"/>
      <c r="AA87" s="158"/>
      <c r="AB87" s="158"/>
      <c r="AC87" s="158"/>
      <c r="AD87" s="158"/>
      <c r="AE87" s="158"/>
      <c r="AF87" s="158"/>
      <c r="AG87" s="158"/>
      <c r="AH87" s="158"/>
      <c r="AI87" s="158"/>
      <c r="AJ87" s="158"/>
      <c r="AK87" s="158"/>
      <c r="AL87" s="158"/>
      <c r="AM87" s="158"/>
    </row>
    <row r="88" spans="1:39" x14ac:dyDescent="0.35">
      <c r="A88" s="158"/>
      <c r="B88" s="158"/>
      <c r="C88" s="158"/>
      <c r="D88" s="158"/>
      <c r="E88" s="158"/>
      <c r="F88" s="158"/>
      <c r="G88" s="158"/>
      <c r="H88" s="158"/>
      <c r="I88" s="158"/>
      <c r="J88" s="158"/>
      <c r="K88" s="158"/>
      <c r="L88" s="158"/>
      <c r="M88" s="158"/>
      <c r="N88" s="158"/>
      <c r="O88" s="158"/>
      <c r="P88" s="158"/>
      <c r="Q88" s="158"/>
      <c r="R88" s="158"/>
      <c r="S88" s="158"/>
      <c r="T88" s="158"/>
      <c r="U88" s="158"/>
      <c r="V88" s="158"/>
      <c r="W88" s="158"/>
      <c r="X88" s="158"/>
      <c r="Y88" s="158"/>
      <c r="Z88" s="158"/>
      <c r="AA88" s="158"/>
      <c r="AB88" s="158"/>
      <c r="AC88" s="158"/>
      <c r="AD88" s="158"/>
      <c r="AE88" s="158"/>
      <c r="AF88" s="158"/>
      <c r="AG88" s="158"/>
      <c r="AH88" s="158"/>
      <c r="AI88" s="158"/>
      <c r="AJ88" s="158"/>
      <c r="AK88" s="158"/>
      <c r="AL88" s="158"/>
      <c r="AM88" s="158"/>
    </row>
    <row r="89" spans="1:39" x14ac:dyDescent="0.35">
      <c r="A89" s="158"/>
      <c r="B89" s="158"/>
      <c r="C89" s="158"/>
      <c r="D89" s="158"/>
      <c r="E89" s="158"/>
      <c r="F89" s="158"/>
      <c r="G89" s="158"/>
      <c r="H89" s="158"/>
      <c r="I89" s="158"/>
      <c r="J89" s="158"/>
      <c r="K89" s="158"/>
      <c r="L89" s="158"/>
      <c r="M89" s="158"/>
      <c r="N89" s="158"/>
      <c r="O89" s="158"/>
      <c r="P89" s="158"/>
      <c r="Q89" s="158"/>
      <c r="R89" s="158"/>
      <c r="S89" s="158"/>
      <c r="T89" s="158"/>
      <c r="U89" s="158"/>
      <c r="V89" s="158"/>
      <c r="W89" s="158"/>
      <c r="X89" s="158"/>
      <c r="Y89" s="158"/>
      <c r="Z89" s="158"/>
      <c r="AA89" s="158"/>
      <c r="AB89" s="158"/>
      <c r="AC89" s="158"/>
      <c r="AD89" s="158"/>
      <c r="AE89" s="158"/>
      <c r="AF89" s="158"/>
      <c r="AG89" s="158"/>
      <c r="AH89" s="158"/>
      <c r="AI89" s="158"/>
      <c r="AJ89" s="158"/>
      <c r="AK89" s="158"/>
      <c r="AL89" s="158"/>
      <c r="AM89" s="158"/>
    </row>
    <row r="90" spans="1:39" x14ac:dyDescent="0.35">
      <c r="A90" s="158"/>
      <c r="B90" s="158"/>
      <c r="C90" s="158"/>
      <c r="D90" s="158"/>
      <c r="E90" s="158"/>
      <c r="F90" s="158"/>
      <c r="G90" s="158"/>
      <c r="H90" s="158"/>
      <c r="I90" s="158"/>
      <c r="J90" s="158"/>
      <c r="K90" s="158"/>
      <c r="L90" s="158"/>
      <c r="M90" s="158"/>
      <c r="N90" s="158"/>
      <c r="O90" s="158"/>
      <c r="P90" s="158"/>
      <c r="Q90" s="158"/>
      <c r="R90" s="158"/>
      <c r="S90" s="158"/>
      <c r="T90" s="158"/>
      <c r="U90" s="158"/>
      <c r="V90" s="158"/>
      <c r="W90" s="158"/>
      <c r="X90" s="158"/>
      <c r="Y90" s="158"/>
      <c r="Z90" s="158"/>
      <c r="AA90" s="158"/>
      <c r="AB90" s="158"/>
      <c r="AC90" s="158"/>
      <c r="AD90" s="158"/>
      <c r="AE90" s="158"/>
      <c r="AF90" s="158"/>
      <c r="AG90" s="158"/>
      <c r="AH90" s="158"/>
      <c r="AI90" s="158"/>
      <c r="AJ90" s="158"/>
      <c r="AK90" s="158"/>
      <c r="AL90" s="158"/>
      <c r="AM90" s="158"/>
    </row>
    <row r="91" spans="1:39" x14ac:dyDescent="0.35">
      <c r="A91" s="158"/>
      <c r="B91" s="158"/>
      <c r="C91" s="158"/>
      <c r="D91" s="158"/>
      <c r="E91" s="158"/>
      <c r="F91" s="158"/>
      <c r="G91" s="158"/>
      <c r="H91" s="158"/>
      <c r="I91" s="158"/>
      <c r="J91" s="158"/>
      <c r="K91" s="158"/>
      <c r="L91" s="158"/>
      <c r="M91" s="158"/>
      <c r="N91" s="158"/>
      <c r="O91" s="158"/>
      <c r="P91" s="158"/>
      <c r="Q91" s="158"/>
      <c r="R91" s="158"/>
      <c r="S91" s="158"/>
      <c r="T91" s="158"/>
      <c r="U91" s="158"/>
      <c r="V91" s="158"/>
      <c r="W91" s="158"/>
      <c r="X91" s="158"/>
      <c r="Y91" s="158"/>
      <c r="Z91" s="158"/>
      <c r="AA91" s="158"/>
      <c r="AB91" s="158"/>
      <c r="AC91" s="158"/>
      <c r="AD91" s="158"/>
      <c r="AE91" s="158"/>
      <c r="AF91" s="158"/>
      <c r="AG91" s="158"/>
      <c r="AH91" s="158"/>
      <c r="AI91" s="158"/>
      <c r="AJ91" s="158"/>
      <c r="AK91" s="158"/>
      <c r="AL91" s="158"/>
      <c r="AM91" s="158"/>
    </row>
    <row r="92" spans="1:39" x14ac:dyDescent="0.35">
      <c r="A92" s="158"/>
      <c r="B92" s="158"/>
      <c r="C92" s="158"/>
      <c r="D92" s="158"/>
      <c r="E92" s="158"/>
      <c r="F92" s="158"/>
      <c r="G92" s="158"/>
      <c r="H92" s="158"/>
      <c r="I92" s="158"/>
      <c r="J92" s="158"/>
      <c r="K92" s="158"/>
      <c r="L92" s="158"/>
      <c r="M92" s="158"/>
      <c r="N92" s="158"/>
      <c r="O92" s="158"/>
      <c r="P92" s="158"/>
      <c r="Q92" s="158"/>
      <c r="R92" s="158"/>
      <c r="S92" s="158"/>
      <c r="T92" s="158"/>
      <c r="U92" s="158"/>
      <c r="V92" s="158"/>
      <c r="W92" s="158"/>
      <c r="X92" s="158"/>
      <c r="Y92" s="158"/>
      <c r="Z92" s="158"/>
      <c r="AA92" s="158"/>
      <c r="AB92" s="158"/>
      <c r="AC92" s="158"/>
      <c r="AD92" s="158"/>
      <c r="AE92" s="158"/>
      <c r="AF92" s="158"/>
      <c r="AG92" s="158"/>
      <c r="AH92" s="158"/>
      <c r="AI92" s="158"/>
      <c r="AJ92" s="158"/>
      <c r="AK92" s="158"/>
      <c r="AL92" s="158"/>
      <c r="AM92" s="158"/>
    </row>
    <row r="93" spans="1:39" x14ac:dyDescent="0.35">
      <c r="A93" s="158"/>
      <c r="B93" s="158"/>
      <c r="C93" s="158"/>
      <c r="D93" s="158"/>
      <c r="E93" s="158"/>
      <c r="F93" s="158"/>
      <c r="G93" s="158"/>
      <c r="H93" s="158"/>
      <c r="I93" s="158"/>
      <c r="J93" s="158"/>
      <c r="K93" s="158"/>
      <c r="L93" s="158"/>
      <c r="M93" s="158"/>
      <c r="N93" s="158"/>
      <c r="O93" s="158"/>
      <c r="P93" s="158"/>
      <c r="Q93" s="158"/>
      <c r="R93" s="158"/>
      <c r="S93" s="158"/>
      <c r="T93" s="158"/>
      <c r="U93" s="158"/>
      <c r="V93" s="158"/>
      <c r="W93" s="158"/>
      <c r="X93" s="158"/>
      <c r="Y93" s="158"/>
      <c r="Z93" s="158"/>
      <c r="AA93" s="158"/>
      <c r="AB93" s="158"/>
      <c r="AC93" s="158"/>
      <c r="AD93" s="158"/>
      <c r="AE93" s="158"/>
      <c r="AF93" s="158"/>
      <c r="AG93" s="158"/>
      <c r="AH93" s="158"/>
      <c r="AI93" s="158"/>
      <c r="AJ93" s="158"/>
      <c r="AK93" s="158"/>
      <c r="AL93" s="158"/>
      <c r="AM93" s="158"/>
    </row>
    <row r="94" spans="1:39" x14ac:dyDescent="0.35">
      <c r="A94" s="158"/>
      <c r="B94" s="158"/>
      <c r="C94" s="158"/>
      <c r="D94" s="158"/>
      <c r="E94" s="158"/>
      <c r="F94" s="158"/>
      <c r="G94" s="158"/>
      <c r="H94" s="158"/>
      <c r="I94" s="158"/>
      <c r="J94" s="158"/>
      <c r="K94" s="158"/>
      <c r="L94" s="158"/>
      <c r="M94" s="158"/>
      <c r="N94" s="158"/>
      <c r="O94" s="158"/>
      <c r="P94" s="158"/>
      <c r="Q94" s="158"/>
      <c r="R94" s="158"/>
      <c r="S94" s="158"/>
      <c r="T94" s="158"/>
      <c r="U94" s="158"/>
      <c r="V94" s="158"/>
      <c r="W94" s="158"/>
      <c r="X94" s="158"/>
      <c r="Y94" s="158"/>
      <c r="Z94" s="158"/>
      <c r="AA94" s="158"/>
      <c r="AB94" s="158"/>
      <c r="AC94" s="158"/>
      <c r="AD94" s="158"/>
      <c r="AE94" s="158"/>
      <c r="AF94" s="158"/>
      <c r="AG94" s="158"/>
      <c r="AH94" s="158"/>
      <c r="AI94" s="158"/>
      <c r="AJ94" s="158"/>
      <c r="AK94" s="158"/>
      <c r="AL94" s="158"/>
      <c r="AM94" s="158"/>
    </row>
    <row r="95" spans="1:39" x14ac:dyDescent="0.35">
      <c r="A95" s="158"/>
      <c r="B95" s="158"/>
      <c r="C95" s="158"/>
      <c r="D95" s="158"/>
      <c r="E95" s="158"/>
      <c r="F95" s="158"/>
      <c r="G95" s="158"/>
      <c r="H95" s="158"/>
      <c r="I95" s="158"/>
      <c r="J95" s="158"/>
      <c r="K95" s="158"/>
      <c r="L95" s="158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  <c r="Y95" s="158"/>
      <c r="Z95" s="158"/>
      <c r="AA95" s="158"/>
      <c r="AB95" s="158"/>
      <c r="AC95" s="158"/>
      <c r="AD95" s="158"/>
      <c r="AE95" s="158"/>
      <c r="AF95" s="158"/>
      <c r="AG95" s="158"/>
      <c r="AH95" s="158"/>
      <c r="AI95" s="158"/>
      <c r="AJ95" s="158"/>
      <c r="AK95" s="158"/>
      <c r="AL95" s="158"/>
      <c r="AM95" s="158"/>
    </row>
    <row r="96" spans="1:39" x14ac:dyDescent="0.35">
      <c r="A96" s="158"/>
      <c r="B96" s="158"/>
      <c r="C96" s="158"/>
      <c r="D96" s="158"/>
      <c r="E96" s="158"/>
      <c r="F96" s="158"/>
      <c r="G96" s="158"/>
      <c r="H96" s="158"/>
      <c r="I96" s="158"/>
      <c r="J96" s="158"/>
      <c r="K96" s="158"/>
      <c r="L96" s="158"/>
      <c r="M96" s="158"/>
      <c r="N96" s="158"/>
      <c r="O96" s="158"/>
      <c r="P96" s="158"/>
      <c r="Q96" s="158"/>
      <c r="R96" s="158"/>
      <c r="S96" s="158"/>
      <c r="T96" s="158"/>
      <c r="U96" s="158"/>
      <c r="V96" s="158"/>
      <c r="W96" s="158"/>
      <c r="X96" s="158"/>
      <c r="Y96" s="158"/>
      <c r="Z96" s="158"/>
      <c r="AA96" s="158"/>
      <c r="AB96" s="158"/>
      <c r="AC96" s="158"/>
      <c r="AD96" s="158"/>
      <c r="AE96" s="158"/>
      <c r="AF96" s="158"/>
      <c r="AG96" s="158"/>
      <c r="AH96" s="158"/>
      <c r="AI96" s="158"/>
      <c r="AJ96" s="158"/>
      <c r="AK96" s="158"/>
      <c r="AL96" s="158"/>
      <c r="AM96" s="158"/>
    </row>
    <row r="97" spans="1:39" x14ac:dyDescent="0.35">
      <c r="A97" s="158"/>
      <c r="B97" s="158"/>
      <c r="C97" s="158"/>
      <c r="D97" s="158"/>
      <c r="E97" s="158"/>
      <c r="F97" s="158"/>
      <c r="G97" s="158"/>
      <c r="H97" s="158"/>
      <c r="I97" s="158"/>
      <c r="J97" s="158"/>
      <c r="K97" s="158"/>
      <c r="L97" s="158"/>
      <c r="M97" s="158"/>
      <c r="N97" s="158"/>
      <c r="O97" s="158"/>
      <c r="P97" s="158"/>
      <c r="Q97" s="158"/>
      <c r="R97" s="158"/>
      <c r="S97" s="158"/>
      <c r="T97" s="158"/>
      <c r="U97" s="158"/>
      <c r="V97" s="158"/>
      <c r="W97" s="158"/>
      <c r="X97" s="158"/>
      <c r="Y97" s="158"/>
      <c r="Z97" s="158"/>
      <c r="AA97" s="158"/>
      <c r="AB97" s="158"/>
      <c r="AC97" s="158"/>
      <c r="AD97" s="158"/>
      <c r="AE97" s="158"/>
      <c r="AF97" s="158"/>
      <c r="AG97" s="158"/>
      <c r="AH97" s="158"/>
      <c r="AI97" s="158"/>
      <c r="AJ97" s="158"/>
      <c r="AK97" s="158"/>
      <c r="AL97" s="158"/>
      <c r="AM97" s="158"/>
    </row>
    <row r="98" spans="1:39" x14ac:dyDescent="0.35">
      <c r="A98" s="158"/>
      <c r="B98" s="158"/>
      <c r="C98" s="158"/>
      <c r="D98" s="158"/>
      <c r="E98" s="158"/>
      <c r="F98" s="158"/>
      <c r="G98" s="158"/>
      <c r="H98" s="158"/>
      <c r="I98" s="158"/>
      <c r="J98" s="158"/>
      <c r="K98" s="158"/>
      <c r="L98" s="158"/>
      <c r="M98" s="158"/>
      <c r="N98" s="158"/>
      <c r="O98" s="158"/>
      <c r="P98" s="158"/>
      <c r="Q98" s="158"/>
      <c r="R98" s="158"/>
      <c r="S98" s="158"/>
      <c r="T98" s="158"/>
      <c r="U98" s="158"/>
      <c r="V98" s="158"/>
      <c r="W98" s="158"/>
      <c r="X98" s="158"/>
      <c r="Y98" s="158"/>
      <c r="Z98" s="158"/>
      <c r="AA98" s="158"/>
      <c r="AB98" s="158"/>
      <c r="AC98" s="158"/>
      <c r="AD98" s="158"/>
      <c r="AE98" s="158"/>
      <c r="AF98" s="158"/>
      <c r="AG98" s="158"/>
      <c r="AH98" s="158"/>
      <c r="AI98" s="158"/>
      <c r="AJ98" s="158"/>
      <c r="AK98" s="158"/>
      <c r="AL98" s="158"/>
      <c r="AM98" s="158"/>
    </row>
    <row r="99" spans="1:39" x14ac:dyDescent="0.35">
      <c r="A99" s="158"/>
      <c r="B99" s="158"/>
      <c r="C99" s="158"/>
      <c r="D99" s="158"/>
      <c r="E99" s="158"/>
      <c r="F99" s="158"/>
      <c r="G99" s="158"/>
      <c r="H99" s="158"/>
      <c r="I99" s="158"/>
      <c r="J99" s="158"/>
      <c r="K99" s="158"/>
      <c r="L99" s="158"/>
      <c r="M99" s="158"/>
      <c r="N99" s="158"/>
      <c r="O99" s="158"/>
      <c r="P99" s="158"/>
      <c r="Q99" s="158"/>
      <c r="R99" s="158"/>
      <c r="S99" s="158"/>
      <c r="T99" s="158"/>
      <c r="U99" s="158"/>
      <c r="V99" s="158"/>
      <c r="W99" s="158"/>
      <c r="X99" s="158"/>
      <c r="Y99" s="158"/>
      <c r="Z99" s="158"/>
      <c r="AA99" s="158"/>
      <c r="AB99" s="158"/>
      <c r="AC99" s="158"/>
      <c r="AD99" s="158"/>
      <c r="AE99" s="158"/>
      <c r="AF99" s="158"/>
      <c r="AG99" s="158"/>
      <c r="AH99" s="158"/>
      <c r="AI99" s="158"/>
      <c r="AJ99" s="158"/>
      <c r="AK99" s="158"/>
      <c r="AL99" s="158"/>
      <c r="AM99" s="158"/>
    </row>
    <row r="100" spans="1:39" x14ac:dyDescent="0.35">
      <c r="A100" s="158"/>
      <c r="B100" s="158"/>
      <c r="C100" s="158"/>
      <c r="D100" s="158"/>
      <c r="E100" s="158"/>
      <c r="F100" s="158"/>
      <c r="G100" s="158"/>
      <c r="H100" s="158"/>
      <c r="I100" s="158"/>
      <c r="J100" s="158"/>
      <c r="K100" s="158"/>
      <c r="L100" s="158"/>
      <c r="M100" s="158"/>
      <c r="N100" s="158"/>
      <c r="O100" s="158"/>
      <c r="P100" s="158"/>
      <c r="Q100" s="158"/>
      <c r="R100" s="158"/>
      <c r="S100" s="158"/>
      <c r="T100" s="158"/>
      <c r="U100" s="158"/>
      <c r="V100" s="158"/>
      <c r="W100" s="158"/>
      <c r="X100" s="158"/>
      <c r="Y100" s="158"/>
      <c r="Z100" s="158"/>
      <c r="AA100" s="158"/>
      <c r="AB100" s="158"/>
      <c r="AC100" s="158"/>
      <c r="AD100" s="158"/>
      <c r="AE100" s="158"/>
      <c r="AF100" s="158"/>
      <c r="AG100" s="158"/>
      <c r="AH100" s="158"/>
      <c r="AI100" s="158"/>
      <c r="AJ100" s="158"/>
      <c r="AK100" s="158"/>
      <c r="AL100" s="158"/>
      <c r="AM100" s="158"/>
    </row>
    <row r="101" spans="1:39" x14ac:dyDescent="0.35">
      <c r="A101" s="158"/>
      <c r="B101" s="158"/>
      <c r="C101" s="158"/>
      <c r="D101" s="158"/>
      <c r="E101" s="158"/>
      <c r="F101" s="158"/>
      <c r="G101" s="158"/>
      <c r="H101" s="158"/>
      <c r="I101" s="158"/>
      <c r="J101" s="158"/>
      <c r="K101" s="158"/>
      <c r="L101" s="158"/>
      <c r="M101" s="158"/>
      <c r="N101" s="158"/>
      <c r="O101" s="158"/>
      <c r="P101" s="158"/>
      <c r="Q101" s="158"/>
      <c r="R101" s="158"/>
      <c r="S101" s="158"/>
      <c r="T101" s="158"/>
      <c r="U101" s="158"/>
      <c r="V101" s="158"/>
      <c r="W101" s="158"/>
      <c r="X101" s="158"/>
      <c r="Y101" s="158"/>
      <c r="Z101" s="158"/>
      <c r="AA101" s="158"/>
      <c r="AB101" s="158"/>
      <c r="AC101" s="158"/>
      <c r="AD101" s="158"/>
      <c r="AE101" s="158"/>
      <c r="AF101" s="158"/>
      <c r="AG101" s="158"/>
      <c r="AH101" s="158"/>
      <c r="AI101" s="158"/>
      <c r="AJ101" s="158"/>
      <c r="AK101" s="158"/>
      <c r="AL101" s="158"/>
      <c r="AM101" s="158"/>
    </row>
    <row r="102" spans="1:39" x14ac:dyDescent="0.35">
      <c r="A102" s="158"/>
      <c r="B102" s="158"/>
      <c r="C102" s="158"/>
      <c r="D102" s="158"/>
      <c r="E102" s="158"/>
      <c r="F102" s="158"/>
      <c r="G102" s="158"/>
      <c r="H102" s="158"/>
      <c r="I102" s="158"/>
      <c r="J102" s="158"/>
      <c r="K102" s="158"/>
      <c r="L102" s="158"/>
      <c r="M102" s="158"/>
      <c r="N102" s="158"/>
      <c r="O102" s="158"/>
      <c r="P102" s="158"/>
      <c r="Q102" s="158"/>
      <c r="R102" s="158"/>
      <c r="S102" s="158"/>
      <c r="T102" s="158"/>
      <c r="U102" s="158"/>
      <c r="V102" s="158"/>
      <c r="W102" s="158"/>
      <c r="X102" s="158"/>
      <c r="Y102" s="158"/>
      <c r="Z102" s="158"/>
      <c r="AA102" s="158"/>
      <c r="AB102" s="158"/>
      <c r="AC102" s="158"/>
      <c r="AD102" s="158"/>
      <c r="AE102" s="158"/>
      <c r="AF102" s="158"/>
      <c r="AG102" s="158"/>
      <c r="AH102" s="158"/>
      <c r="AI102" s="158"/>
      <c r="AJ102" s="158"/>
      <c r="AK102" s="158"/>
      <c r="AL102" s="158"/>
      <c r="AM102" s="158"/>
    </row>
    <row r="103" spans="1:39" x14ac:dyDescent="0.35">
      <c r="A103" s="158"/>
      <c r="B103" s="158"/>
      <c r="C103" s="158"/>
      <c r="D103" s="158"/>
      <c r="E103" s="158"/>
      <c r="F103" s="158"/>
      <c r="G103" s="158"/>
      <c r="H103" s="158"/>
      <c r="I103" s="158"/>
      <c r="J103" s="158"/>
      <c r="K103" s="158"/>
      <c r="L103" s="158"/>
      <c r="M103" s="158"/>
      <c r="N103" s="158"/>
      <c r="O103" s="158"/>
      <c r="P103" s="158"/>
      <c r="Q103" s="158"/>
      <c r="R103" s="158"/>
      <c r="S103" s="158"/>
      <c r="T103" s="158"/>
      <c r="U103" s="158"/>
      <c r="V103" s="158"/>
      <c r="W103" s="158"/>
      <c r="X103" s="158"/>
      <c r="Y103" s="158"/>
      <c r="Z103" s="158"/>
      <c r="AA103" s="158"/>
      <c r="AB103" s="158"/>
      <c r="AC103" s="158"/>
      <c r="AD103" s="158"/>
      <c r="AE103" s="158"/>
      <c r="AF103" s="158"/>
      <c r="AG103" s="158"/>
      <c r="AH103" s="158"/>
      <c r="AI103" s="158"/>
      <c r="AJ103" s="158"/>
      <c r="AK103" s="158"/>
      <c r="AL103" s="158"/>
      <c r="AM103" s="158"/>
    </row>
    <row r="104" spans="1:39" x14ac:dyDescent="0.35">
      <c r="A104" s="158"/>
      <c r="B104" s="158"/>
      <c r="C104" s="158"/>
      <c r="D104" s="158"/>
      <c r="E104" s="158"/>
      <c r="F104" s="158"/>
      <c r="G104" s="158"/>
      <c r="H104" s="158"/>
      <c r="I104" s="158"/>
      <c r="J104" s="158"/>
      <c r="K104" s="158"/>
      <c r="L104" s="158"/>
      <c r="M104" s="158"/>
      <c r="N104" s="158"/>
      <c r="O104" s="158"/>
      <c r="P104" s="158"/>
      <c r="Q104" s="158"/>
      <c r="R104" s="158"/>
      <c r="S104" s="158"/>
      <c r="T104" s="158"/>
      <c r="U104" s="158"/>
      <c r="V104" s="158"/>
      <c r="W104" s="158"/>
      <c r="X104" s="158"/>
      <c r="Y104" s="158"/>
      <c r="Z104" s="158"/>
      <c r="AA104" s="158"/>
      <c r="AB104" s="158"/>
      <c r="AC104" s="158"/>
      <c r="AD104" s="158"/>
      <c r="AE104" s="158"/>
      <c r="AF104" s="158"/>
      <c r="AG104" s="158"/>
      <c r="AH104" s="158"/>
      <c r="AI104" s="158"/>
      <c r="AJ104" s="158"/>
      <c r="AK104" s="158"/>
      <c r="AL104" s="158"/>
      <c r="AM104" s="158"/>
    </row>
    <row r="105" spans="1:39" x14ac:dyDescent="0.35">
      <c r="A105" s="158"/>
      <c r="B105" s="158"/>
      <c r="C105" s="158"/>
      <c r="D105" s="158"/>
      <c r="E105" s="158"/>
      <c r="F105" s="158"/>
      <c r="G105" s="158"/>
      <c r="H105" s="158"/>
      <c r="I105" s="158"/>
      <c r="J105" s="158"/>
      <c r="K105" s="158"/>
      <c r="L105" s="158"/>
      <c r="M105" s="158"/>
      <c r="N105" s="158"/>
      <c r="O105" s="158"/>
      <c r="P105" s="158"/>
      <c r="Q105" s="158"/>
      <c r="R105" s="158"/>
      <c r="S105" s="158"/>
      <c r="T105" s="158"/>
      <c r="U105" s="158"/>
      <c r="V105" s="158"/>
      <c r="W105" s="158"/>
      <c r="X105" s="158"/>
      <c r="Y105" s="158"/>
      <c r="Z105" s="158"/>
      <c r="AA105" s="158"/>
      <c r="AB105" s="158"/>
      <c r="AC105" s="158"/>
      <c r="AD105" s="158"/>
      <c r="AE105" s="158"/>
      <c r="AF105" s="158"/>
      <c r="AG105" s="158"/>
      <c r="AH105" s="158"/>
      <c r="AI105" s="158"/>
      <c r="AJ105" s="158"/>
      <c r="AK105" s="158"/>
      <c r="AL105" s="158"/>
      <c r="AM105" s="158"/>
    </row>
    <row r="106" spans="1:39" x14ac:dyDescent="0.35">
      <c r="A106" s="158"/>
      <c r="B106" s="158"/>
      <c r="C106" s="158"/>
      <c r="D106" s="158"/>
      <c r="E106" s="158"/>
      <c r="F106" s="158"/>
      <c r="G106" s="158"/>
      <c r="H106" s="158"/>
      <c r="I106" s="158"/>
      <c r="J106" s="158"/>
      <c r="K106" s="158"/>
      <c r="L106" s="158"/>
      <c r="M106" s="158"/>
      <c r="N106" s="158"/>
      <c r="O106" s="158"/>
      <c r="P106" s="158"/>
      <c r="Q106" s="158"/>
      <c r="R106" s="158"/>
      <c r="S106" s="158"/>
      <c r="T106" s="158"/>
      <c r="U106" s="158"/>
      <c r="V106" s="158"/>
      <c r="W106" s="158"/>
      <c r="X106" s="158"/>
      <c r="Y106" s="158"/>
      <c r="Z106" s="158"/>
      <c r="AA106" s="158"/>
      <c r="AB106" s="158"/>
      <c r="AC106" s="158"/>
      <c r="AD106" s="158"/>
      <c r="AE106" s="158"/>
      <c r="AF106" s="158"/>
      <c r="AG106" s="158"/>
      <c r="AH106" s="158"/>
      <c r="AI106" s="158"/>
      <c r="AJ106" s="158"/>
      <c r="AK106" s="158"/>
      <c r="AL106" s="158"/>
      <c r="AM106" s="158"/>
    </row>
    <row r="107" spans="1:39" x14ac:dyDescent="0.35">
      <c r="A107" s="158"/>
      <c r="B107" s="158"/>
      <c r="C107" s="158"/>
      <c r="D107" s="158"/>
      <c r="E107" s="158"/>
      <c r="F107" s="158"/>
      <c r="G107" s="158"/>
      <c r="H107" s="158"/>
      <c r="I107" s="158"/>
      <c r="J107" s="158"/>
      <c r="K107" s="158"/>
      <c r="L107" s="158"/>
      <c r="M107" s="158"/>
      <c r="N107" s="158"/>
      <c r="O107" s="158"/>
      <c r="P107" s="158"/>
      <c r="Q107" s="158"/>
      <c r="R107" s="158"/>
      <c r="S107" s="158"/>
      <c r="T107" s="158"/>
      <c r="U107" s="158"/>
      <c r="V107" s="158"/>
      <c r="W107" s="158"/>
      <c r="X107" s="158"/>
      <c r="Y107" s="158"/>
      <c r="Z107" s="158"/>
      <c r="AA107" s="158"/>
      <c r="AB107" s="158"/>
      <c r="AC107" s="158"/>
      <c r="AD107" s="158"/>
      <c r="AE107" s="158"/>
      <c r="AF107" s="158"/>
      <c r="AG107" s="158"/>
      <c r="AH107" s="158"/>
      <c r="AI107" s="158"/>
      <c r="AJ107" s="158"/>
      <c r="AK107" s="158"/>
      <c r="AL107" s="158"/>
      <c r="AM107" s="158"/>
    </row>
    <row r="108" spans="1:39" x14ac:dyDescent="0.35">
      <c r="A108" s="158"/>
      <c r="B108" s="158"/>
      <c r="C108" s="158"/>
      <c r="D108" s="158"/>
      <c r="E108" s="158"/>
      <c r="F108" s="158"/>
      <c r="G108" s="158"/>
      <c r="H108" s="158"/>
      <c r="I108" s="158"/>
      <c r="J108" s="158"/>
      <c r="K108" s="158"/>
      <c r="L108" s="158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  <c r="Y108" s="158"/>
      <c r="Z108" s="158"/>
      <c r="AA108" s="158"/>
      <c r="AB108" s="158"/>
      <c r="AC108" s="158"/>
      <c r="AD108" s="158"/>
      <c r="AE108" s="158"/>
      <c r="AF108" s="158"/>
      <c r="AG108" s="158"/>
      <c r="AH108" s="158"/>
      <c r="AI108" s="158"/>
      <c r="AJ108" s="158"/>
      <c r="AK108" s="158"/>
      <c r="AL108" s="158"/>
      <c r="AM108" s="158"/>
    </row>
    <row r="109" spans="1:39" x14ac:dyDescent="0.35">
      <c r="A109" s="158"/>
      <c r="B109" s="158"/>
      <c r="C109" s="158"/>
      <c r="D109" s="158"/>
      <c r="E109" s="158"/>
      <c r="F109" s="158"/>
      <c r="G109" s="158"/>
      <c r="H109" s="158"/>
      <c r="I109" s="158"/>
      <c r="J109" s="158"/>
      <c r="K109" s="158"/>
      <c r="L109" s="158"/>
      <c r="M109" s="158"/>
      <c r="N109" s="158"/>
      <c r="O109" s="158"/>
      <c r="P109" s="158"/>
      <c r="Q109" s="158"/>
      <c r="R109" s="158"/>
      <c r="S109" s="158"/>
      <c r="T109" s="158"/>
      <c r="U109" s="158"/>
      <c r="V109" s="158"/>
      <c r="W109" s="158"/>
      <c r="X109" s="158"/>
      <c r="Y109" s="158"/>
      <c r="Z109" s="158"/>
      <c r="AA109" s="158"/>
      <c r="AB109" s="158"/>
      <c r="AC109" s="158"/>
      <c r="AD109" s="158"/>
      <c r="AE109" s="158"/>
      <c r="AF109" s="158"/>
      <c r="AG109" s="158"/>
      <c r="AH109" s="158"/>
      <c r="AI109" s="158"/>
      <c r="AJ109" s="158"/>
      <c r="AK109" s="158"/>
      <c r="AL109" s="158"/>
      <c r="AM109" s="158"/>
    </row>
    <row r="110" spans="1:39" x14ac:dyDescent="0.35">
      <c r="A110" s="158"/>
      <c r="B110" s="158"/>
      <c r="C110" s="158"/>
      <c r="D110" s="158"/>
      <c r="E110" s="158"/>
      <c r="F110" s="158"/>
      <c r="G110" s="158"/>
      <c r="H110" s="158"/>
      <c r="I110" s="158"/>
      <c r="J110" s="158"/>
      <c r="K110" s="158"/>
      <c r="L110" s="158"/>
      <c r="M110" s="158"/>
      <c r="N110" s="158"/>
      <c r="O110" s="158"/>
      <c r="P110" s="158"/>
      <c r="Q110" s="158"/>
      <c r="R110" s="158"/>
      <c r="S110" s="158"/>
      <c r="T110" s="158"/>
      <c r="U110" s="158"/>
      <c r="V110" s="158"/>
      <c r="W110" s="158"/>
      <c r="X110" s="158"/>
      <c r="Y110" s="158"/>
      <c r="Z110" s="158"/>
      <c r="AA110" s="158"/>
      <c r="AB110" s="158"/>
      <c r="AC110" s="158"/>
      <c r="AD110" s="158"/>
      <c r="AE110" s="158"/>
      <c r="AF110" s="158"/>
      <c r="AG110" s="158"/>
      <c r="AH110" s="158"/>
      <c r="AI110" s="158"/>
      <c r="AJ110" s="158"/>
      <c r="AK110" s="158"/>
      <c r="AL110" s="158"/>
      <c r="AM110" s="158"/>
    </row>
    <row r="111" spans="1:39" x14ac:dyDescent="0.35">
      <c r="A111" s="158"/>
      <c r="B111" s="158"/>
      <c r="C111" s="158"/>
      <c r="D111" s="158"/>
      <c r="E111" s="158"/>
      <c r="F111" s="158"/>
      <c r="G111" s="158"/>
      <c r="H111" s="158"/>
      <c r="I111" s="158"/>
      <c r="J111" s="158"/>
      <c r="K111" s="158"/>
      <c r="L111" s="158"/>
      <c r="M111" s="158"/>
      <c r="N111" s="158"/>
      <c r="O111" s="158"/>
      <c r="P111" s="158"/>
      <c r="Q111" s="158"/>
      <c r="R111" s="158"/>
      <c r="S111" s="158"/>
      <c r="T111" s="158"/>
      <c r="U111" s="158"/>
      <c r="V111" s="158"/>
      <c r="W111" s="158"/>
      <c r="X111" s="158"/>
      <c r="Y111" s="158"/>
      <c r="Z111" s="158"/>
      <c r="AA111" s="158"/>
      <c r="AB111" s="158"/>
      <c r="AC111" s="158"/>
      <c r="AD111" s="158"/>
      <c r="AE111" s="158"/>
      <c r="AF111" s="158"/>
      <c r="AG111" s="158"/>
      <c r="AH111" s="158"/>
      <c r="AI111" s="158"/>
      <c r="AJ111" s="158"/>
      <c r="AK111" s="158"/>
      <c r="AL111" s="158"/>
      <c r="AM111" s="158"/>
    </row>
    <row r="112" spans="1:39" x14ac:dyDescent="0.35">
      <c r="A112" s="158"/>
      <c r="B112" s="158"/>
      <c r="C112" s="158"/>
      <c r="D112" s="158"/>
      <c r="E112" s="158"/>
      <c r="F112" s="158"/>
      <c r="G112" s="158"/>
      <c r="H112" s="158"/>
      <c r="I112" s="158"/>
      <c r="J112" s="158"/>
      <c r="K112" s="158"/>
      <c r="L112" s="158"/>
      <c r="M112" s="158"/>
      <c r="N112" s="158"/>
      <c r="O112" s="158"/>
      <c r="P112" s="158"/>
      <c r="Q112" s="158"/>
      <c r="R112" s="158"/>
      <c r="S112" s="158"/>
      <c r="T112" s="158"/>
      <c r="U112" s="158"/>
      <c r="V112" s="158"/>
      <c r="W112" s="158"/>
      <c r="X112" s="158"/>
      <c r="Y112" s="158"/>
      <c r="Z112" s="158"/>
      <c r="AA112" s="158"/>
      <c r="AB112" s="158"/>
      <c r="AC112" s="158"/>
      <c r="AD112" s="158"/>
      <c r="AE112" s="158"/>
      <c r="AF112" s="158"/>
      <c r="AG112" s="158"/>
      <c r="AH112" s="158"/>
      <c r="AI112" s="158"/>
      <c r="AJ112" s="158"/>
      <c r="AK112" s="158"/>
      <c r="AL112" s="158"/>
      <c r="AM112" s="158"/>
    </row>
    <row r="113" spans="1:39" x14ac:dyDescent="0.35">
      <c r="A113" s="158"/>
      <c r="B113" s="158"/>
      <c r="C113" s="158"/>
      <c r="D113" s="158"/>
      <c r="E113" s="158"/>
      <c r="F113" s="158"/>
      <c r="G113" s="158"/>
      <c r="H113" s="158"/>
      <c r="I113" s="158"/>
      <c r="J113" s="158"/>
      <c r="K113" s="158"/>
      <c r="L113" s="158"/>
      <c r="M113" s="158"/>
      <c r="N113" s="158"/>
      <c r="O113" s="158"/>
      <c r="P113" s="158"/>
      <c r="Q113" s="158"/>
      <c r="R113" s="158"/>
      <c r="S113" s="158"/>
      <c r="T113" s="158"/>
      <c r="U113" s="158"/>
      <c r="V113" s="158"/>
      <c r="W113" s="158"/>
      <c r="X113" s="158"/>
      <c r="Y113" s="158"/>
      <c r="Z113" s="158"/>
      <c r="AA113" s="158"/>
      <c r="AB113" s="158"/>
      <c r="AC113" s="158"/>
      <c r="AD113" s="158"/>
      <c r="AE113" s="158"/>
      <c r="AF113" s="158"/>
      <c r="AG113" s="158"/>
      <c r="AH113" s="158"/>
      <c r="AI113" s="158"/>
      <c r="AJ113" s="158"/>
      <c r="AK113" s="158"/>
      <c r="AL113" s="158"/>
      <c r="AM113" s="158"/>
    </row>
    <row r="114" spans="1:39" x14ac:dyDescent="0.35">
      <c r="A114" s="158"/>
      <c r="B114" s="158"/>
      <c r="C114" s="158"/>
      <c r="D114" s="158"/>
      <c r="E114" s="158"/>
      <c r="F114" s="158"/>
      <c r="G114" s="158"/>
      <c r="H114" s="158"/>
      <c r="I114" s="158"/>
      <c r="J114" s="158"/>
      <c r="K114" s="158"/>
      <c r="L114" s="158"/>
      <c r="M114" s="158"/>
      <c r="N114" s="158"/>
      <c r="O114" s="158"/>
      <c r="P114" s="158"/>
      <c r="Q114" s="158"/>
      <c r="R114" s="158"/>
      <c r="S114" s="158"/>
      <c r="T114" s="158"/>
      <c r="U114" s="158"/>
      <c r="V114" s="158"/>
      <c r="W114" s="158"/>
      <c r="X114" s="158"/>
      <c r="Y114" s="158"/>
      <c r="Z114" s="158"/>
      <c r="AA114" s="158"/>
      <c r="AB114" s="158"/>
      <c r="AC114" s="158"/>
      <c r="AD114" s="158"/>
      <c r="AE114" s="158"/>
      <c r="AF114" s="158"/>
      <c r="AG114" s="158"/>
      <c r="AH114" s="158"/>
      <c r="AI114" s="158"/>
      <c r="AJ114" s="158"/>
      <c r="AK114" s="158"/>
      <c r="AL114" s="158"/>
      <c r="AM114" s="158"/>
    </row>
    <row r="115" spans="1:39" x14ac:dyDescent="0.35">
      <c r="A115" s="158"/>
      <c r="B115" s="158"/>
      <c r="C115" s="158"/>
      <c r="D115" s="158"/>
      <c r="E115" s="158"/>
      <c r="F115" s="158"/>
      <c r="G115" s="158"/>
      <c r="H115" s="158"/>
      <c r="I115" s="158"/>
      <c r="J115" s="158"/>
      <c r="K115" s="158"/>
      <c r="L115" s="158"/>
      <c r="M115" s="158"/>
      <c r="N115" s="158"/>
      <c r="O115" s="158"/>
      <c r="P115" s="158"/>
      <c r="Q115" s="158"/>
      <c r="R115" s="158"/>
      <c r="S115" s="158"/>
      <c r="T115" s="158"/>
      <c r="U115" s="158"/>
      <c r="V115" s="158"/>
      <c r="W115" s="158"/>
      <c r="X115" s="158"/>
      <c r="Y115" s="158"/>
      <c r="Z115" s="158"/>
      <c r="AA115" s="158"/>
      <c r="AB115" s="158"/>
      <c r="AC115" s="158"/>
      <c r="AD115" s="158"/>
      <c r="AE115" s="158"/>
      <c r="AF115" s="158"/>
      <c r="AG115" s="158"/>
      <c r="AH115" s="158"/>
      <c r="AI115" s="158"/>
      <c r="AJ115" s="158"/>
      <c r="AK115" s="158"/>
      <c r="AL115" s="158"/>
      <c r="AM115" s="158"/>
    </row>
    <row r="116" spans="1:39" x14ac:dyDescent="0.35">
      <c r="A116" s="158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8"/>
      <c r="AF116" s="158"/>
      <c r="AG116" s="158"/>
      <c r="AH116" s="158"/>
      <c r="AI116" s="158"/>
      <c r="AJ116" s="158"/>
      <c r="AK116" s="158"/>
      <c r="AL116" s="158"/>
      <c r="AM116" s="158"/>
    </row>
    <row r="117" spans="1:39" x14ac:dyDescent="0.35">
      <c r="A117" s="158"/>
      <c r="B117" s="158"/>
      <c r="C117" s="158"/>
      <c r="D117" s="158"/>
      <c r="E117" s="158"/>
      <c r="F117" s="158"/>
      <c r="G117" s="158"/>
      <c r="H117" s="158"/>
      <c r="I117" s="158"/>
      <c r="J117" s="158"/>
      <c r="K117" s="158"/>
      <c r="L117" s="158"/>
      <c r="M117" s="158"/>
      <c r="N117" s="158"/>
      <c r="O117" s="158"/>
      <c r="P117" s="158"/>
      <c r="Q117" s="158"/>
      <c r="R117" s="158"/>
      <c r="S117" s="158"/>
      <c r="T117" s="158"/>
      <c r="U117" s="158"/>
      <c r="V117" s="158"/>
      <c r="W117" s="158"/>
      <c r="X117" s="158"/>
      <c r="Y117" s="158"/>
      <c r="Z117" s="158"/>
      <c r="AA117" s="158"/>
      <c r="AB117" s="158"/>
      <c r="AC117" s="158"/>
      <c r="AD117" s="158"/>
      <c r="AE117" s="158"/>
      <c r="AF117" s="158"/>
      <c r="AG117" s="158"/>
      <c r="AH117" s="158"/>
      <c r="AI117" s="158"/>
      <c r="AJ117" s="158"/>
      <c r="AK117" s="158"/>
      <c r="AL117" s="158"/>
      <c r="AM117" s="158"/>
    </row>
    <row r="118" spans="1:39" x14ac:dyDescent="0.35">
      <c r="A118" s="158"/>
      <c r="B118" s="158"/>
      <c r="C118" s="158"/>
      <c r="D118" s="158"/>
      <c r="E118" s="158"/>
      <c r="F118" s="158"/>
      <c r="G118" s="158"/>
      <c r="H118" s="158"/>
      <c r="I118" s="158"/>
      <c r="J118" s="158"/>
      <c r="K118" s="158"/>
      <c r="L118" s="158"/>
      <c r="M118" s="158"/>
      <c r="N118" s="158"/>
      <c r="O118" s="158"/>
      <c r="P118" s="158"/>
      <c r="Q118" s="158"/>
      <c r="R118" s="158"/>
      <c r="S118" s="158"/>
      <c r="T118" s="158"/>
      <c r="U118" s="158"/>
      <c r="V118" s="158"/>
      <c r="W118" s="158"/>
      <c r="X118" s="158"/>
      <c r="Y118" s="158"/>
      <c r="Z118" s="158"/>
      <c r="AA118" s="158"/>
      <c r="AB118" s="158"/>
      <c r="AC118" s="158"/>
      <c r="AD118" s="158"/>
      <c r="AE118" s="158"/>
      <c r="AF118" s="158"/>
      <c r="AG118" s="158"/>
      <c r="AH118" s="158"/>
      <c r="AI118" s="158"/>
      <c r="AJ118" s="158"/>
      <c r="AK118" s="158"/>
      <c r="AL118" s="158"/>
      <c r="AM118" s="158"/>
    </row>
    <row r="119" spans="1:39" x14ac:dyDescent="0.35">
      <c r="A119" s="158"/>
      <c r="B119" s="158"/>
      <c r="C119" s="158"/>
      <c r="D119" s="158"/>
      <c r="E119" s="158"/>
      <c r="F119" s="158"/>
      <c r="G119" s="158"/>
      <c r="H119" s="158"/>
      <c r="I119" s="158"/>
      <c r="J119" s="158"/>
      <c r="K119" s="158"/>
      <c r="L119" s="158"/>
      <c r="M119" s="158"/>
      <c r="N119" s="158"/>
      <c r="O119" s="158"/>
      <c r="P119" s="158"/>
      <c r="Q119" s="158"/>
      <c r="R119" s="158"/>
      <c r="S119" s="158"/>
      <c r="T119" s="158"/>
      <c r="U119" s="158"/>
      <c r="V119" s="158"/>
      <c r="W119" s="158"/>
      <c r="X119" s="158"/>
      <c r="Y119" s="158"/>
      <c r="Z119" s="158"/>
      <c r="AA119" s="158"/>
      <c r="AB119" s="158"/>
      <c r="AC119" s="158"/>
      <c r="AD119" s="158"/>
      <c r="AE119" s="158"/>
      <c r="AF119" s="158"/>
      <c r="AG119" s="158"/>
      <c r="AH119" s="158"/>
      <c r="AI119" s="158"/>
      <c r="AJ119" s="158"/>
      <c r="AK119" s="158"/>
      <c r="AL119" s="158"/>
      <c r="AM119" s="158"/>
    </row>
    <row r="120" spans="1:39" x14ac:dyDescent="0.35">
      <c r="A120" s="158"/>
      <c r="B120" s="158"/>
      <c r="C120" s="158"/>
      <c r="D120" s="158"/>
      <c r="E120" s="158"/>
      <c r="F120" s="158"/>
      <c r="G120" s="158"/>
      <c r="H120" s="158"/>
      <c r="I120" s="158"/>
      <c r="J120" s="158"/>
      <c r="K120" s="158"/>
      <c r="L120" s="158"/>
      <c r="M120" s="158"/>
      <c r="N120" s="158"/>
      <c r="O120" s="158"/>
      <c r="P120" s="158"/>
      <c r="Q120" s="158"/>
      <c r="R120" s="158"/>
      <c r="S120" s="158"/>
      <c r="T120" s="158"/>
      <c r="U120" s="158"/>
      <c r="V120" s="158"/>
      <c r="W120" s="158"/>
      <c r="X120" s="158"/>
      <c r="Y120" s="158"/>
      <c r="Z120" s="158"/>
      <c r="AA120" s="158"/>
      <c r="AB120" s="158"/>
      <c r="AC120" s="158"/>
      <c r="AD120" s="158"/>
      <c r="AE120" s="158"/>
      <c r="AF120" s="158"/>
      <c r="AG120" s="158"/>
      <c r="AH120" s="158"/>
      <c r="AI120" s="158"/>
      <c r="AJ120" s="158"/>
      <c r="AK120" s="158"/>
      <c r="AL120" s="158"/>
      <c r="AM120" s="158"/>
    </row>
    <row r="121" spans="1:39" x14ac:dyDescent="0.35">
      <c r="A121" s="158"/>
      <c r="B121" s="158"/>
      <c r="C121" s="158"/>
      <c r="D121" s="158"/>
      <c r="E121" s="158"/>
      <c r="F121" s="158"/>
      <c r="G121" s="158"/>
      <c r="H121" s="158"/>
      <c r="I121" s="158"/>
      <c r="J121" s="158"/>
      <c r="K121" s="158"/>
      <c r="L121" s="158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  <c r="Y121" s="158"/>
      <c r="Z121" s="158"/>
      <c r="AA121" s="158"/>
      <c r="AB121" s="158"/>
      <c r="AC121" s="158"/>
      <c r="AD121" s="158"/>
      <c r="AE121" s="158"/>
      <c r="AF121" s="158"/>
      <c r="AG121" s="158"/>
      <c r="AH121" s="158"/>
      <c r="AI121" s="158"/>
      <c r="AJ121" s="158"/>
      <c r="AK121" s="158"/>
      <c r="AL121" s="158"/>
      <c r="AM121" s="158"/>
    </row>
    <row r="122" spans="1:39" x14ac:dyDescent="0.35">
      <c r="A122" s="158"/>
      <c r="B122" s="158"/>
      <c r="C122" s="158"/>
      <c r="D122" s="158"/>
      <c r="E122" s="158"/>
      <c r="F122" s="158"/>
      <c r="G122" s="158"/>
      <c r="H122" s="158"/>
      <c r="I122" s="158"/>
      <c r="J122" s="158"/>
      <c r="K122" s="158"/>
      <c r="L122" s="158"/>
      <c r="M122" s="158"/>
      <c r="N122" s="158"/>
      <c r="O122" s="158"/>
      <c r="P122" s="158"/>
      <c r="Q122" s="158"/>
      <c r="R122" s="158"/>
      <c r="S122" s="158"/>
      <c r="T122" s="158"/>
      <c r="U122" s="158"/>
      <c r="V122" s="158"/>
      <c r="W122" s="158"/>
      <c r="X122" s="158"/>
      <c r="Y122" s="158"/>
      <c r="Z122" s="158"/>
      <c r="AA122" s="158"/>
      <c r="AB122" s="158"/>
      <c r="AC122" s="158"/>
      <c r="AD122" s="158"/>
      <c r="AE122" s="158"/>
      <c r="AF122" s="158"/>
      <c r="AG122" s="158"/>
      <c r="AH122" s="158"/>
      <c r="AI122" s="158"/>
      <c r="AJ122" s="158"/>
      <c r="AK122" s="158"/>
      <c r="AL122" s="158"/>
      <c r="AM122" s="158"/>
    </row>
    <row r="123" spans="1:39" x14ac:dyDescent="0.35">
      <c r="A123" s="158"/>
      <c r="B123" s="158"/>
      <c r="C123" s="158"/>
      <c r="D123" s="158"/>
      <c r="E123" s="158"/>
      <c r="F123" s="158"/>
      <c r="G123" s="158"/>
      <c r="H123" s="158"/>
      <c r="I123" s="158"/>
      <c r="J123" s="158"/>
      <c r="K123" s="158"/>
      <c r="L123" s="158"/>
      <c r="M123" s="158"/>
      <c r="N123" s="158"/>
      <c r="O123" s="158"/>
      <c r="P123" s="158"/>
      <c r="Q123" s="158"/>
      <c r="R123" s="158"/>
      <c r="S123" s="158"/>
      <c r="T123" s="158"/>
      <c r="U123" s="158"/>
      <c r="V123" s="158"/>
      <c r="W123" s="158"/>
      <c r="X123" s="158"/>
      <c r="Y123" s="158"/>
      <c r="Z123" s="158"/>
      <c r="AA123" s="158"/>
      <c r="AB123" s="158"/>
      <c r="AC123" s="158"/>
      <c r="AD123" s="158"/>
      <c r="AE123" s="158"/>
      <c r="AF123" s="158"/>
      <c r="AG123" s="158"/>
      <c r="AH123" s="158"/>
      <c r="AI123" s="158"/>
      <c r="AJ123" s="158"/>
      <c r="AK123" s="158"/>
      <c r="AL123" s="158"/>
      <c r="AM123" s="158"/>
    </row>
    <row r="124" spans="1:39" x14ac:dyDescent="0.35">
      <c r="A124" s="158"/>
      <c r="B124" s="158"/>
      <c r="C124" s="158"/>
      <c r="D124" s="158"/>
      <c r="E124" s="158"/>
      <c r="F124" s="158"/>
      <c r="G124" s="158"/>
      <c r="H124" s="158"/>
      <c r="I124" s="158"/>
      <c r="J124" s="158"/>
      <c r="K124" s="158"/>
      <c r="L124" s="158"/>
      <c r="M124" s="158"/>
      <c r="N124" s="158"/>
      <c r="O124" s="158"/>
      <c r="P124" s="158"/>
      <c r="Q124" s="158"/>
      <c r="R124" s="158"/>
      <c r="S124" s="158"/>
      <c r="T124" s="158"/>
      <c r="U124" s="158"/>
      <c r="V124" s="158"/>
      <c r="W124" s="158"/>
      <c r="X124" s="158"/>
      <c r="Y124" s="158"/>
      <c r="Z124" s="158"/>
      <c r="AA124" s="158"/>
      <c r="AB124" s="158"/>
      <c r="AC124" s="158"/>
      <c r="AD124" s="158"/>
      <c r="AE124" s="158"/>
      <c r="AF124" s="158"/>
      <c r="AG124" s="158"/>
      <c r="AH124" s="158"/>
      <c r="AI124" s="158"/>
      <c r="AJ124" s="158"/>
      <c r="AK124" s="158"/>
      <c r="AL124" s="158"/>
      <c r="AM124" s="158"/>
    </row>
    <row r="125" spans="1:39" x14ac:dyDescent="0.35">
      <c r="A125" s="158"/>
      <c r="B125" s="158"/>
      <c r="C125" s="158"/>
      <c r="D125" s="158"/>
      <c r="E125" s="158"/>
      <c r="F125" s="158"/>
      <c r="G125" s="158"/>
      <c r="H125" s="158"/>
      <c r="I125" s="158"/>
      <c r="J125" s="158"/>
      <c r="K125" s="158"/>
      <c r="L125" s="158"/>
      <c r="M125" s="158"/>
      <c r="N125" s="158"/>
      <c r="O125" s="158"/>
      <c r="P125" s="158"/>
      <c r="Q125" s="158"/>
      <c r="R125" s="158"/>
      <c r="S125" s="158"/>
      <c r="T125" s="158"/>
      <c r="U125" s="158"/>
      <c r="V125" s="158"/>
      <c r="W125" s="158"/>
      <c r="X125" s="158"/>
      <c r="Y125" s="158"/>
      <c r="Z125" s="158"/>
      <c r="AA125" s="158"/>
      <c r="AB125" s="158"/>
      <c r="AC125" s="158"/>
      <c r="AD125" s="158"/>
      <c r="AE125" s="158"/>
      <c r="AF125" s="158"/>
      <c r="AG125" s="158"/>
      <c r="AH125" s="158"/>
      <c r="AI125" s="158"/>
      <c r="AJ125" s="158"/>
      <c r="AK125" s="158"/>
      <c r="AL125" s="158"/>
      <c r="AM125" s="158"/>
    </row>
    <row r="126" spans="1:39" x14ac:dyDescent="0.35">
      <c r="A126" s="158"/>
      <c r="B126" s="158"/>
      <c r="C126" s="158"/>
      <c r="D126" s="158"/>
      <c r="E126" s="158"/>
      <c r="F126" s="158"/>
      <c r="G126" s="158"/>
      <c r="H126" s="158"/>
      <c r="I126" s="158"/>
      <c r="J126" s="158"/>
      <c r="K126" s="158"/>
      <c r="L126" s="158"/>
      <c r="M126" s="158"/>
      <c r="N126" s="158"/>
      <c r="O126" s="158"/>
      <c r="P126" s="158"/>
      <c r="Q126" s="158"/>
      <c r="R126" s="158"/>
      <c r="S126" s="158"/>
      <c r="T126" s="158"/>
      <c r="U126" s="158"/>
      <c r="V126" s="158"/>
      <c r="W126" s="158"/>
      <c r="X126" s="158"/>
      <c r="Y126" s="158"/>
      <c r="Z126" s="158"/>
      <c r="AA126" s="158"/>
      <c r="AB126" s="158"/>
      <c r="AC126" s="158"/>
      <c r="AD126" s="158"/>
      <c r="AE126" s="158"/>
      <c r="AF126" s="158"/>
      <c r="AG126" s="158"/>
      <c r="AH126" s="158"/>
      <c r="AI126" s="158"/>
      <c r="AJ126" s="158"/>
      <c r="AK126" s="158"/>
      <c r="AL126" s="158"/>
      <c r="AM126" s="158"/>
    </row>
    <row r="127" spans="1:39" x14ac:dyDescent="0.35">
      <c r="A127" s="158"/>
      <c r="B127" s="158"/>
      <c r="C127" s="158"/>
      <c r="D127" s="158"/>
      <c r="E127" s="158"/>
      <c r="F127" s="158"/>
      <c r="G127" s="158"/>
      <c r="H127" s="158"/>
      <c r="I127" s="158"/>
      <c r="J127" s="158"/>
      <c r="K127" s="158"/>
      <c r="L127" s="158"/>
      <c r="M127" s="158"/>
      <c r="N127" s="158"/>
      <c r="O127" s="158"/>
      <c r="P127" s="158"/>
      <c r="Q127" s="158"/>
      <c r="R127" s="158"/>
      <c r="S127" s="158"/>
      <c r="T127" s="158"/>
      <c r="U127" s="158"/>
      <c r="V127" s="158"/>
      <c r="W127" s="158"/>
      <c r="X127" s="158"/>
      <c r="Y127" s="158"/>
      <c r="Z127" s="158"/>
      <c r="AA127" s="158"/>
      <c r="AB127" s="158"/>
      <c r="AC127" s="158"/>
      <c r="AD127" s="158"/>
      <c r="AE127" s="158"/>
      <c r="AF127" s="158"/>
      <c r="AG127" s="158"/>
      <c r="AH127" s="158"/>
      <c r="AI127" s="158"/>
      <c r="AJ127" s="158"/>
      <c r="AK127" s="158"/>
      <c r="AL127" s="158"/>
      <c r="AM127" s="158"/>
    </row>
    <row r="128" spans="1:39" x14ac:dyDescent="0.35">
      <c r="A128" s="158"/>
      <c r="B128" s="158"/>
      <c r="C128" s="158"/>
      <c r="D128" s="158"/>
      <c r="E128" s="158"/>
      <c r="F128" s="158"/>
      <c r="G128" s="158"/>
      <c r="H128" s="158"/>
      <c r="I128" s="158"/>
      <c r="J128" s="158"/>
      <c r="K128" s="158"/>
      <c r="L128" s="158"/>
      <c r="M128" s="158"/>
      <c r="N128" s="158"/>
      <c r="O128" s="158"/>
      <c r="P128" s="158"/>
      <c r="Q128" s="158"/>
      <c r="R128" s="158"/>
      <c r="S128" s="158"/>
      <c r="T128" s="158"/>
      <c r="U128" s="158"/>
      <c r="V128" s="158"/>
      <c r="W128" s="158"/>
      <c r="X128" s="158"/>
      <c r="Y128" s="158"/>
      <c r="Z128" s="158"/>
      <c r="AA128" s="158"/>
      <c r="AB128" s="158"/>
      <c r="AC128" s="158"/>
      <c r="AD128" s="158"/>
      <c r="AE128" s="158"/>
      <c r="AF128" s="158"/>
      <c r="AG128" s="158"/>
      <c r="AH128" s="158"/>
      <c r="AI128" s="158"/>
      <c r="AJ128" s="158"/>
      <c r="AK128" s="158"/>
      <c r="AL128" s="158"/>
      <c r="AM128" s="158"/>
    </row>
    <row r="129" spans="1:39" x14ac:dyDescent="0.35">
      <c r="A129" s="158"/>
      <c r="B129" s="158"/>
      <c r="C129" s="158"/>
      <c r="D129" s="158"/>
      <c r="E129" s="158"/>
      <c r="F129" s="158"/>
      <c r="G129" s="158"/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  <c r="T129" s="158"/>
      <c r="U129" s="158"/>
      <c r="V129" s="158"/>
      <c r="W129" s="158"/>
      <c r="X129" s="158"/>
      <c r="Y129" s="158"/>
      <c r="Z129" s="158"/>
      <c r="AA129" s="158"/>
      <c r="AB129" s="158"/>
      <c r="AC129" s="158"/>
      <c r="AD129" s="158"/>
      <c r="AE129" s="158"/>
      <c r="AF129" s="158"/>
      <c r="AG129" s="158"/>
      <c r="AH129" s="158"/>
      <c r="AI129" s="158"/>
      <c r="AJ129" s="158"/>
      <c r="AK129" s="158"/>
      <c r="AL129" s="158"/>
      <c r="AM129" s="158"/>
    </row>
    <row r="130" spans="1:39" x14ac:dyDescent="0.35">
      <c r="A130" s="158"/>
      <c r="B130" s="158"/>
      <c r="C130" s="158"/>
      <c r="D130" s="158"/>
      <c r="E130" s="158"/>
      <c r="F130" s="158"/>
      <c r="G130" s="158"/>
      <c r="H130" s="158"/>
      <c r="I130" s="158"/>
      <c r="J130" s="158"/>
      <c r="K130" s="158"/>
      <c r="L130" s="158"/>
      <c r="M130" s="158"/>
      <c r="N130" s="158"/>
      <c r="O130" s="158"/>
      <c r="P130" s="158"/>
      <c r="Q130" s="158"/>
      <c r="R130" s="158"/>
      <c r="S130" s="158"/>
      <c r="T130" s="158"/>
      <c r="U130" s="158"/>
      <c r="V130" s="158"/>
      <c r="W130" s="158"/>
      <c r="X130" s="158"/>
      <c r="Y130" s="158"/>
      <c r="Z130" s="158"/>
      <c r="AA130" s="158"/>
      <c r="AB130" s="158"/>
      <c r="AC130" s="158"/>
      <c r="AD130" s="158"/>
      <c r="AE130" s="158"/>
      <c r="AF130" s="158"/>
      <c r="AG130" s="158"/>
      <c r="AH130" s="158"/>
      <c r="AI130" s="158"/>
      <c r="AJ130" s="158"/>
      <c r="AK130" s="158"/>
      <c r="AL130" s="158"/>
      <c r="AM130" s="158"/>
    </row>
    <row r="131" spans="1:39" x14ac:dyDescent="0.35">
      <c r="A131" s="158"/>
      <c r="B131" s="158"/>
      <c r="C131" s="158"/>
      <c r="D131" s="158"/>
      <c r="E131" s="158"/>
      <c r="F131" s="158"/>
      <c r="G131" s="158"/>
      <c r="H131" s="158"/>
      <c r="I131" s="158"/>
      <c r="J131" s="158"/>
      <c r="K131" s="158"/>
      <c r="L131" s="158"/>
      <c r="M131" s="158"/>
      <c r="N131" s="158"/>
      <c r="O131" s="158"/>
      <c r="P131" s="158"/>
      <c r="Q131" s="158"/>
      <c r="R131" s="158"/>
      <c r="S131" s="158"/>
      <c r="T131" s="158"/>
      <c r="U131" s="158"/>
      <c r="V131" s="158"/>
      <c r="W131" s="158"/>
      <c r="X131" s="158"/>
      <c r="Y131" s="158"/>
      <c r="Z131" s="158"/>
      <c r="AA131" s="158"/>
      <c r="AB131" s="158"/>
      <c r="AC131" s="158"/>
      <c r="AD131" s="158"/>
      <c r="AE131" s="158"/>
      <c r="AF131" s="158"/>
      <c r="AG131" s="158"/>
      <c r="AH131" s="158"/>
      <c r="AI131" s="158"/>
      <c r="AJ131" s="158"/>
      <c r="AK131" s="158"/>
      <c r="AL131" s="158"/>
      <c r="AM131" s="158"/>
    </row>
    <row r="132" spans="1:39" x14ac:dyDescent="0.35">
      <c r="A132" s="158"/>
      <c r="B132" s="158"/>
      <c r="C132" s="158"/>
      <c r="D132" s="158"/>
      <c r="E132" s="158"/>
      <c r="F132" s="158"/>
      <c r="G132" s="158"/>
      <c r="H132" s="158"/>
      <c r="I132" s="158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  <c r="T132" s="158"/>
      <c r="U132" s="158"/>
      <c r="V132" s="158"/>
      <c r="W132" s="158"/>
      <c r="X132" s="158"/>
      <c r="Y132" s="158"/>
      <c r="Z132" s="158"/>
      <c r="AA132" s="158"/>
      <c r="AB132" s="158"/>
      <c r="AC132" s="158"/>
      <c r="AD132" s="158"/>
      <c r="AE132" s="158"/>
      <c r="AF132" s="158"/>
      <c r="AG132" s="158"/>
      <c r="AH132" s="158"/>
      <c r="AI132" s="158"/>
      <c r="AJ132" s="158"/>
      <c r="AK132" s="158"/>
      <c r="AL132" s="158"/>
      <c r="AM132" s="158"/>
    </row>
    <row r="133" spans="1:39" x14ac:dyDescent="0.35">
      <c r="A133" s="158"/>
      <c r="B133" s="158"/>
      <c r="C133" s="158"/>
      <c r="D133" s="158"/>
      <c r="E133" s="158"/>
      <c r="F133" s="158"/>
      <c r="G133" s="158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  <c r="T133" s="158"/>
      <c r="U133" s="158"/>
      <c r="V133" s="158"/>
      <c r="W133" s="158"/>
      <c r="X133" s="158"/>
      <c r="Y133" s="158"/>
      <c r="Z133" s="158"/>
      <c r="AA133" s="158"/>
      <c r="AB133" s="158"/>
      <c r="AC133" s="158"/>
      <c r="AD133" s="158"/>
      <c r="AE133" s="158"/>
      <c r="AF133" s="158"/>
      <c r="AG133" s="158"/>
      <c r="AH133" s="158"/>
      <c r="AI133" s="158"/>
      <c r="AJ133" s="158"/>
      <c r="AK133" s="158"/>
      <c r="AL133" s="158"/>
      <c r="AM133" s="158"/>
    </row>
    <row r="134" spans="1:39" x14ac:dyDescent="0.35">
      <c r="A134" s="158"/>
      <c r="B134" s="158"/>
      <c r="C134" s="158"/>
      <c r="D134" s="158"/>
      <c r="E134" s="158"/>
      <c r="F134" s="158"/>
      <c r="G134" s="158"/>
      <c r="H134" s="158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  <c r="Y134" s="158"/>
      <c r="Z134" s="158"/>
      <c r="AA134" s="158"/>
      <c r="AB134" s="158"/>
      <c r="AC134" s="158"/>
      <c r="AD134" s="158"/>
      <c r="AE134" s="158"/>
      <c r="AF134" s="158"/>
      <c r="AG134" s="158"/>
      <c r="AH134" s="158"/>
      <c r="AI134" s="158"/>
      <c r="AJ134" s="158"/>
      <c r="AK134" s="158"/>
      <c r="AL134" s="158"/>
      <c r="AM134" s="158"/>
    </row>
    <row r="135" spans="1:39" x14ac:dyDescent="0.35">
      <c r="A135" s="158"/>
      <c r="B135" s="158"/>
      <c r="C135" s="158"/>
      <c r="D135" s="158"/>
      <c r="E135" s="158"/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  <c r="T135" s="158"/>
      <c r="U135" s="158"/>
      <c r="V135" s="158"/>
      <c r="W135" s="158"/>
      <c r="X135" s="158"/>
      <c r="Y135" s="158"/>
      <c r="Z135" s="158"/>
      <c r="AA135" s="158"/>
      <c r="AB135" s="158"/>
      <c r="AC135" s="158"/>
      <c r="AD135" s="158"/>
      <c r="AE135" s="158"/>
      <c r="AF135" s="158"/>
      <c r="AG135" s="158"/>
      <c r="AH135" s="158"/>
      <c r="AI135" s="158"/>
      <c r="AJ135" s="158"/>
      <c r="AK135" s="158"/>
      <c r="AL135" s="158"/>
      <c r="AM135" s="158"/>
    </row>
    <row r="136" spans="1:39" x14ac:dyDescent="0.35">
      <c r="A136" s="158"/>
      <c r="B136" s="158"/>
      <c r="C136" s="158"/>
      <c r="D136" s="158"/>
      <c r="E136" s="158"/>
      <c r="F136" s="158"/>
      <c r="G136" s="158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  <c r="T136" s="158"/>
      <c r="U136" s="158"/>
      <c r="V136" s="158"/>
      <c r="W136" s="158"/>
      <c r="X136" s="158"/>
      <c r="Y136" s="158"/>
      <c r="Z136" s="158"/>
      <c r="AA136" s="158"/>
      <c r="AB136" s="158"/>
      <c r="AC136" s="158"/>
      <c r="AD136" s="158"/>
      <c r="AE136" s="158"/>
      <c r="AF136" s="158"/>
      <c r="AG136" s="158"/>
      <c r="AH136" s="158"/>
      <c r="AI136" s="158"/>
      <c r="AJ136" s="158"/>
      <c r="AK136" s="158"/>
      <c r="AL136" s="158"/>
      <c r="AM136" s="158"/>
    </row>
    <row r="137" spans="1:39" x14ac:dyDescent="0.35">
      <c r="A137" s="158"/>
      <c r="B137" s="158"/>
      <c r="C137" s="158"/>
      <c r="D137" s="158"/>
      <c r="E137" s="158"/>
      <c r="F137" s="158"/>
      <c r="G137" s="158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  <c r="T137" s="158"/>
      <c r="U137" s="158"/>
      <c r="V137" s="158"/>
      <c r="W137" s="158"/>
      <c r="X137" s="158"/>
      <c r="Y137" s="158"/>
      <c r="Z137" s="158"/>
      <c r="AA137" s="158"/>
      <c r="AB137" s="158"/>
      <c r="AC137" s="158"/>
      <c r="AD137" s="158"/>
      <c r="AE137" s="158"/>
      <c r="AF137" s="158"/>
      <c r="AG137" s="158"/>
      <c r="AH137" s="158"/>
      <c r="AI137" s="158"/>
      <c r="AJ137" s="158"/>
      <c r="AK137" s="158"/>
      <c r="AL137" s="158"/>
      <c r="AM137" s="158"/>
    </row>
    <row r="138" spans="1:39" x14ac:dyDescent="0.35">
      <c r="A138" s="158"/>
      <c r="B138" s="158"/>
      <c r="C138" s="158"/>
      <c r="D138" s="158"/>
      <c r="E138" s="158"/>
      <c r="F138" s="158"/>
      <c r="G138" s="158"/>
      <c r="H138" s="158"/>
      <c r="I138" s="158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  <c r="T138" s="158"/>
      <c r="U138" s="158"/>
      <c r="V138" s="158"/>
      <c r="W138" s="158"/>
      <c r="X138" s="158"/>
      <c r="Y138" s="158"/>
      <c r="Z138" s="158"/>
      <c r="AA138" s="158"/>
      <c r="AB138" s="158"/>
      <c r="AC138" s="158"/>
      <c r="AD138" s="158"/>
      <c r="AE138" s="158"/>
      <c r="AF138" s="158"/>
      <c r="AG138" s="158"/>
      <c r="AH138" s="158"/>
      <c r="AI138" s="158"/>
      <c r="AJ138" s="158"/>
      <c r="AK138" s="158"/>
      <c r="AL138" s="158"/>
      <c r="AM138" s="158"/>
    </row>
    <row r="139" spans="1:39" x14ac:dyDescent="0.35">
      <c r="A139" s="158"/>
      <c r="B139" s="158"/>
      <c r="C139" s="158"/>
      <c r="D139" s="158"/>
      <c r="E139" s="158"/>
      <c r="F139" s="158"/>
      <c r="G139" s="158"/>
      <c r="H139" s="158"/>
      <c r="I139" s="158"/>
      <c r="J139" s="158"/>
      <c r="K139" s="158"/>
      <c r="L139" s="158"/>
      <c r="M139" s="158"/>
      <c r="N139" s="158"/>
      <c r="O139" s="158"/>
      <c r="P139" s="158"/>
      <c r="Q139" s="158"/>
      <c r="R139" s="158"/>
      <c r="S139" s="158"/>
      <c r="T139" s="158"/>
      <c r="U139" s="158"/>
      <c r="V139" s="158"/>
      <c r="W139" s="158"/>
      <c r="X139" s="158"/>
      <c r="Y139" s="158"/>
      <c r="Z139" s="158"/>
      <c r="AA139" s="158"/>
      <c r="AB139" s="158"/>
      <c r="AC139" s="158"/>
      <c r="AD139" s="158"/>
      <c r="AE139" s="158"/>
      <c r="AF139" s="158"/>
      <c r="AG139" s="158"/>
      <c r="AH139" s="158"/>
      <c r="AI139" s="158"/>
      <c r="AJ139" s="158"/>
      <c r="AK139" s="158"/>
      <c r="AL139" s="158"/>
      <c r="AM139" s="158"/>
    </row>
    <row r="140" spans="1:39" x14ac:dyDescent="0.35">
      <c r="A140" s="158"/>
      <c r="B140" s="158"/>
      <c r="C140" s="158"/>
      <c r="D140" s="158"/>
      <c r="E140" s="158"/>
      <c r="F140" s="158"/>
      <c r="G140" s="158"/>
      <c r="H140" s="158"/>
      <c r="I140" s="158"/>
      <c r="J140" s="158"/>
      <c r="K140" s="158"/>
      <c r="L140" s="158"/>
      <c r="M140" s="158"/>
      <c r="N140" s="158"/>
      <c r="O140" s="158"/>
      <c r="P140" s="158"/>
      <c r="Q140" s="158"/>
      <c r="R140" s="158"/>
      <c r="S140" s="158"/>
      <c r="T140" s="158"/>
      <c r="U140" s="158"/>
      <c r="V140" s="158"/>
      <c r="W140" s="158"/>
      <c r="X140" s="158"/>
      <c r="Y140" s="158"/>
      <c r="Z140" s="158"/>
      <c r="AA140" s="158"/>
      <c r="AB140" s="158"/>
      <c r="AC140" s="158"/>
      <c r="AD140" s="158"/>
      <c r="AE140" s="158"/>
      <c r="AF140" s="158"/>
      <c r="AG140" s="158"/>
      <c r="AH140" s="158"/>
      <c r="AI140" s="158"/>
      <c r="AJ140" s="158"/>
      <c r="AK140" s="158"/>
      <c r="AL140" s="158"/>
      <c r="AM140" s="158"/>
    </row>
    <row r="141" spans="1:39" x14ac:dyDescent="0.35">
      <c r="A141" s="158"/>
      <c r="B141" s="158"/>
      <c r="C141" s="158"/>
      <c r="D141" s="158"/>
      <c r="E141" s="158"/>
      <c r="F141" s="158"/>
      <c r="G141" s="158"/>
      <c r="H141" s="158"/>
      <c r="I141" s="158"/>
      <c r="J141" s="158"/>
      <c r="K141" s="158"/>
      <c r="L141" s="158"/>
      <c r="M141" s="158"/>
      <c r="N141" s="158"/>
      <c r="O141" s="158"/>
      <c r="P141" s="158"/>
      <c r="Q141" s="158"/>
      <c r="R141" s="158"/>
      <c r="S141" s="158"/>
      <c r="T141" s="158"/>
      <c r="U141" s="158"/>
      <c r="V141" s="158"/>
      <c r="W141" s="158"/>
      <c r="X141" s="158"/>
      <c r="Y141" s="158"/>
      <c r="Z141" s="158"/>
      <c r="AA141" s="158"/>
      <c r="AB141" s="158"/>
      <c r="AC141" s="158"/>
      <c r="AD141" s="158"/>
      <c r="AE141" s="158"/>
      <c r="AF141" s="158"/>
      <c r="AG141" s="158"/>
      <c r="AH141" s="158"/>
      <c r="AI141" s="158"/>
      <c r="AJ141" s="158"/>
      <c r="AK141" s="158"/>
      <c r="AL141" s="158"/>
      <c r="AM141" s="158"/>
    </row>
    <row r="142" spans="1:39" x14ac:dyDescent="0.35">
      <c r="A142" s="158"/>
      <c r="B142" s="158"/>
      <c r="C142" s="158"/>
      <c r="D142" s="158"/>
      <c r="E142" s="158"/>
      <c r="F142" s="158"/>
      <c r="G142" s="158"/>
      <c r="H142" s="158"/>
      <c r="I142" s="158"/>
      <c r="J142" s="158"/>
      <c r="K142" s="158"/>
      <c r="L142" s="158"/>
      <c r="M142" s="158"/>
      <c r="N142" s="158"/>
      <c r="O142" s="158"/>
      <c r="P142" s="158"/>
      <c r="Q142" s="158"/>
      <c r="R142" s="158"/>
      <c r="S142" s="158"/>
      <c r="T142" s="158"/>
      <c r="U142" s="158"/>
      <c r="V142" s="158"/>
      <c r="W142" s="158"/>
      <c r="X142" s="158"/>
      <c r="Y142" s="158"/>
      <c r="Z142" s="158"/>
      <c r="AA142" s="158"/>
      <c r="AB142" s="158"/>
      <c r="AC142" s="158"/>
      <c r="AD142" s="158"/>
      <c r="AE142" s="158"/>
      <c r="AF142" s="158"/>
      <c r="AG142" s="158"/>
      <c r="AH142" s="158"/>
      <c r="AI142" s="158"/>
      <c r="AJ142" s="158"/>
      <c r="AK142" s="158"/>
      <c r="AL142" s="158"/>
      <c r="AM142" s="158"/>
    </row>
    <row r="143" spans="1:39" x14ac:dyDescent="0.35">
      <c r="A143" s="158"/>
      <c r="B143" s="158"/>
      <c r="C143" s="158"/>
      <c r="D143" s="158"/>
      <c r="E143" s="158"/>
      <c r="F143" s="158"/>
      <c r="G143" s="158"/>
      <c r="H143" s="158"/>
      <c r="I143" s="158"/>
      <c r="J143" s="158"/>
      <c r="K143" s="158"/>
      <c r="L143" s="158"/>
      <c r="M143" s="158"/>
      <c r="N143" s="158"/>
      <c r="O143" s="158"/>
      <c r="P143" s="158"/>
      <c r="Q143" s="158"/>
      <c r="R143" s="158"/>
      <c r="S143" s="158"/>
      <c r="T143" s="158"/>
      <c r="U143" s="158"/>
      <c r="V143" s="158"/>
      <c r="W143" s="158"/>
      <c r="X143" s="158"/>
      <c r="Y143" s="158"/>
      <c r="Z143" s="158"/>
      <c r="AA143" s="158"/>
      <c r="AB143" s="158"/>
      <c r="AC143" s="158"/>
      <c r="AD143" s="158"/>
      <c r="AE143" s="158"/>
      <c r="AF143" s="158"/>
      <c r="AG143" s="158"/>
      <c r="AH143" s="158"/>
      <c r="AI143" s="158"/>
      <c r="AJ143" s="158"/>
      <c r="AK143" s="158"/>
      <c r="AL143" s="158"/>
      <c r="AM143" s="158"/>
    </row>
    <row r="144" spans="1:39" x14ac:dyDescent="0.35">
      <c r="A144" s="158"/>
      <c r="B144" s="158"/>
      <c r="C144" s="158"/>
      <c r="D144" s="158"/>
      <c r="E144" s="158"/>
      <c r="F144" s="158"/>
      <c r="G144" s="158"/>
      <c r="H144" s="158"/>
      <c r="I144" s="158"/>
      <c r="J144" s="158"/>
      <c r="K144" s="158"/>
      <c r="L144" s="158"/>
      <c r="M144" s="158"/>
      <c r="N144" s="158"/>
      <c r="O144" s="158"/>
      <c r="P144" s="158"/>
      <c r="Q144" s="158"/>
      <c r="R144" s="158"/>
      <c r="S144" s="158"/>
      <c r="T144" s="158"/>
      <c r="U144" s="158"/>
      <c r="V144" s="158"/>
      <c r="W144" s="158"/>
      <c r="X144" s="158"/>
      <c r="Y144" s="158"/>
      <c r="Z144" s="158"/>
      <c r="AA144" s="158"/>
      <c r="AB144" s="158"/>
      <c r="AC144" s="158"/>
      <c r="AD144" s="158"/>
      <c r="AE144" s="158"/>
      <c r="AF144" s="158"/>
      <c r="AG144" s="158"/>
      <c r="AH144" s="158"/>
      <c r="AI144" s="158"/>
      <c r="AJ144" s="158"/>
      <c r="AK144" s="158"/>
      <c r="AL144" s="158"/>
      <c r="AM144" s="158"/>
    </row>
    <row r="145" spans="1:39" x14ac:dyDescent="0.35">
      <c r="A145" s="158"/>
      <c r="B145" s="158"/>
      <c r="C145" s="158"/>
      <c r="D145" s="158"/>
      <c r="E145" s="158"/>
      <c r="F145" s="158"/>
      <c r="G145" s="158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  <c r="T145" s="158"/>
      <c r="U145" s="158"/>
      <c r="V145" s="158"/>
      <c r="W145" s="158"/>
      <c r="X145" s="158"/>
      <c r="Y145" s="158"/>
      <c r="Z145" s="158"/>
      <c r="AA145" s="158"/>
      <c r="AB145" s="158"/>
      <c r="AC145" s="158"/>
      <c r="AD145" s="158"/>
      <c r="AE145" s="158"/>
      <c r="AF145" s="158"/>
      <c r="AG145" s="158"/>
      <c r="AH145" s="158"/>
      <c r="AI145" s="158"/>
      <c r="AJ145" s="158"/>
      <c r="AK145" s="158"/>
      <c r="AL145" s="158"/>
      <c r="AM145" s="158"/>
    </row>
    <row r="146" spans="1:39" x14ac:dyDescent="0.35">
      <c r="A146" s="158"/>
      <c r="B146" s="158"/>
      <c r="C146" s="158"/>
      <c r="D146" s="158"/>
      <c r="E146" s="158"/>
      <c r="F146" s="158"/>
      <c r="G146" s="158"/>
      <c r="H146" s="158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  <c r="T146" s="158"/>
      <c r="U146" s="158"/>
      <c r="V146" s="158"/>
      <c r="W146" s="158"/>
      <c r="X146" s="158"/>
      <c r="Y146" s="158"/>
      <c r="Z146" s="158"/>
      <c r="AA146" s="158"/>
      <c r="AB146" s="158"/>
      <c r="AC146" s="158"/>
      <c r="AD146" s="158"/>
      <c r="AE146" s="158"/>
      <c r="AF146" s="158"/>
      <c r="AG146" s="158"/>
      <c r="AH146" s="158"/>
      <c r="AI146" s="158"/>
      <c r="AJ146" s="158"/>
      <c r="AK146" s="158"/>
      <c r="AL146" s="158"/>
      <c r="AM146" s="158"/>
    </row>
    <row r="147" spans="1:39" x14ac:dyDescent="0.35">
      <c r="A147" s="158"/>
      <c r="B147" s="158"/>
      <c r="C147" s="158"/>
      <c r="D147" s="158"/>
      <c r="E147" s="158"/>
      <c r="F147" s="158"/>
      <c r="G147" s="158"/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  <c r="T147" s="158"/>
      <c r="U147" s="158"/>
      <c r="V147" s="158"/>
      <c r="W147" s="158"/>
      <c r="X147" s="158"/>
      <c r="Y147" s="158"/>
      <c r="Z147" s="158"/>
      <c r="AA147" s="158"/>
      <c r="AB147" s="158"/>
      <c r="AC147" s="158"/>
      <c r="AD147" s="158"/>
      <c r="AE147" s="158"/>
      <c r="AF147" s="158"/>
      <c r="AG147" s="158"/>
      <c r="AH147" s="158"/>
      <c r="AI147" s="158"/>
      <c r="AJ147" s="158"/>
      <c r="AK147" s="158"/>
      <c r="AL147" s="158"/>
      <c r="AM147" s="158"/>
    </row>
    <row r="148" spans="1:39" x14ac:dyDescent="0.35">
      <c r="A148" s="158"/>
      <c r="B148" s="158"/>
      <c r="C148" s="158"/>
      <c r="D148" s="158"/>
      <c r="E148" s="158"/>
      <c r="F148" s="158"/>
      <c r="G148" s="158"/>
      <c r="H148" s="158"/>
      <c r="I148" s="158"/>
      <c r="J148" s="158"/>
      <c r="K148" s="158"/>
      <c r="L148" s="158"/>
      <c r="M148" s="158"/>
      <c r="N148" s="158"/>
      <c r="O148" s="158"/>
      <c r="P148" s="158"/>
      <c r="Q148" s="158"/>
      <c r="R148" s="158"/>
      <c r="S148" s="158"/>
      <c r="T148" s="158"/>
      <c r="U148" s="158"/>
      <c r="V148" s="158"/>
      <c r="W148" s="158"/>
      <c r="X148" s="158"/>
      <c r="Y148" s="158"/>
      <c r="Z148" s="158"/>
      <c r="AA148" s="158"/>
      <c r="AB148" s="158"/>
      <c r="AC148" s="158"/>
      <c r="AD148" s="158"/>
      <c r="AE148" s="158"/>
      <c r="AF148" s="158"/>
      <c r="AG148" s="158"/>
      <c r="AH148" s="158"/>
      <c r="AI148" s="158"/>
      <c r="AJ148" s="158"/>
      <c r="AK148" s="158"/>
      <c r="AL148" s="158"/>
      <c r="AM148" s="158"/>
    </row>
    <row r="149" spans="1:39" x14ac:dyDescent="0.35">
      <c r="A149" s="158"/>
      <c r="B149" s="158"/>
      <c r="C149" s="158"/>
      <c r="D149" s="158"/>
      <c r="E149" s="158"/>
      <c r="F149" s="158"/>
      <c r="G149" s="158"/>
      <c r="H149" s="158"/>
      <c r="I149" s="158"/>
      <c r="J149" s="158"/>
      <c r="K149" s="158"/>
      <c r="L149" s="158"/>
      <c r="M149" s="158"/>
      <c r="N149" s="158"/>
      <c r="O149" s="158"/>
      <c r="P149" s="158"/>
      <c r="Q149" s="158"/>
      <c r="R149" s="158"/>
      <c r="S149" s="158"/>
      <c r="T149" s="158"/>
      <c r="U149" s="158"/>
      <c r="V149" s="158"/>
      <c r="W149" s="158"/>
      <c r="X149" s="158"/>
      <c r="Y149" s="158"/>
      <c r="Z149" s="158"/>
      <c r="AA149" s="158"/>
      <c r="AB149" s="158"/>
      <c r="AC149" s="158"/>
      <c r="AD149" s="158"/>
      <c r="AE149" s="158"/>
      <c r="AF149" s="158"/>
      <c r="AG149" s="158"/>
      <c r="AH149" s="158"/>
      <c r="AI149" s="158"/>
      <c r="AJ149" s="158"/>
      <c r="AK149" s="158"/>
      <c r="AL149" s="158"/>
      <c r="AM149" s="158"/>
    </row>
    <row r="150" spans="1:39" x14ac:dyDescent="0.35">
      <c r="A150" s="158"/>
      <c r="B150" s="158"/>
      <c r="C150" s="158"/>
      <c r="D150" s="158"/>
      <c r="E150" s="158"/>
      <c r="F150" s="158"/>
      <c r="G150" s="158"/>
      <c r="H150" s="158"/>
      <c r="I150" s="158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/>
      <c r="T150" s="158"/>
      <c r="U150" s="158"/>
      <c r="V150" s="158"/>
      <c r="W150" s="158"/>
      <c r="X150" s="158"/>
      <c r="Y150" s="158"/>
      <c r="Z150" s="158"/>
      <c r="AA150" s="158"/>
      <c r="AB150" s="158"/>
      <c r="AC150" s="158"/>
      <c r="AD150" s="158"/>
      <c r="AE150" s="158"/>
      <c r="AF150" s="158"/>
      <c r="AG150" s="158"/>
      <c r="AH150" s="158"/>
      <c r="AI150" s="158"/>
      <c r="AJ150" s="158"/>
      <c r="AK150" s="158"/>
      <c r="AL150" s="158"/>
      <c r="AM150" s="158"/>
    </row>
    <row r="151" spans="1:39" x14ac:dyDescent="0.35">
      <c r="A151" s="158"/>
      <c r="B151" s="158"/>
      <c r="C151" s="158"/>
      <c r="D151" s="158"/>
      <c r="E151" s="158"/>
      <c r="F151" s="158"/>
      <c r="G151" s="158"/>
      <c r="H151" s="158"/>
      <c r="I151" s="158"/>
      <c r="J151" s="158"/>
      <c r="K151" s="158"/>
      <c r="L151" s="158"/>
      <c r="M151" s="158"/>
      <c r="N151" s="158"/>
      <c r="O151" s="158"/>
      <c r="P151" s="158"/>
      <c r="Q151" s="158"/>
      <c r="R151" s="158"/>
      <c r="S151" s="158"/>
      <c r="T151" s="158"/>
      <c r="U151" s="158"/>
      <c r="V151" s="158"/>
      <c r="W151" s="158"/>
      <c r="X151" s="158"/>
      <c r="Y151" s="158"/>
      <c r="Z151" s="158"/>
      <c r="AA151" s="158"/>
      <c r="AB151" s="158"/>
      <c r="AC151" s="158"/>
      <c r="AD151" s="158"/>
      <c r="AE151" s="158"/>
      <c r="AF151" s="158"/>
      <c r="AG151" s="158"/>
      <c r="AH151" s="158"/>
      <c r="AI151" s="158"/>
      <c r="AJ151" s="158"/>
      <c r="AK151" s="158"/>
      <c r="AL151" s="158"/>
      <c r="AM151" s="158"/>
    </row>
    <row r="152" spans="1:39" x14ac:dyDescent="0.35">
      <c r="A152" s="158"/>
      <c r="B152" s="158"/>
      <c r="C152" s="158"/>
      <c r="D152" s="158"/>
      <c r="E152" s="158"/>
      <c r="F152" s="158"/>
      <c r="G152" s="158"/>
      <c r="H152" s="158"/>
      <c r="I152" s="158"/>
      <c r="J152" s="158"/>
      <c r="K152" s="158"/>
      <c r="L152" s="158"/>
      <c r="M152" s="158"/>
      <c r="N152" s="158"/>
      <c r="O152" s="158"/>
      <c r="P152" s="158"/>
      <c r="Q152" s="158"/>
      <c r="R152" s="158"/>
      <c r="S152" s="158"/>
      <c r="T152" s="158"/>
      <c r="U152" s="158"/>
      <c r="V152" s="158"/>
      <c r="W152" s="158"/>
      <c r="X152" s="158"/>
      <c r="Y152" s="158"/>
      <c r="Z152" s="158"/>
      <c r="AA152" s="158"/>
      <c r="AB152" s="158"/>
      <c r="AC152" s="158"/>
      <c r="AD152" s="158"/>
      <c r="AE152" s="158"/>
      <c r="AF152" s="158"/>
      <c r="AG152" s="158"/>
      <c r="AH152" s="158"/>
      <c r="AI152" s="158"/>
      <c r="AJ152" s="158"/>
      <c r="AK152" s="158"/>
      <c r="AL152" s="158"/>
      <c r="AM152" s="158"/>
    </row>
    <row r="153" spans="1:39" x14ac:dyDescent="0.35">
      <c r="A153" s="158"/>
      <c r="B153" s="158"/>
      <c r="C153" s="158"/>
      <c r="D153" s="158"/>
      <c r="E153" s="158"/>
      <c r="F153" s="158"/>
      <c r="G153" s="158"/>
      <c r="H153" s="158"/>
      <c r="I153" s="158"/>
      <c r="J153" s="158"/>
      <c r="K153" s="158"/>
      <c r="L153" s="158"/>
      <c r="M153" s="158"/>
      <c r="N153" s="158"/>
      <c r="O153" s="158"/>
      <c r="P153" s="158"/>
      <c r="Q153" s="158"/>
      <c r="R153" s="158"/>
      <c r="S153" s="158"/>
      <c r="T153" s="158"/>
      <c r="U153" s="158"/>
      <c r="V153" s="158"/>
      <c r="W153" s="158"/>
      <c r="X153" s="158"/>
      <c r="Y153" s="158"/>
      <c r="Z153" s="158"/>
      <c r="AA153" s="158"/>
      <c r="AB153" s="158"/>
      <c r="AC153" s="158"/>
      <c r="AD153" s="158"/>
      <c r="AE153" s="158"/>
      <c r="AF153" s="158"/>
      <c r="AG153" s="158"/>
      <c r="AH153" s="158"/>
      <c r="AI153" s="158"/>
      <c r="AJ153" s="158"/>
      <c r="AK153" s="158"/>
      <c r="AL153" s="158"/>
      <c r="AM153" s="158"/>
    </row>
    <row r="154" spans="1:39" x14ac:dyDescent="0.35">
      <c r="A154" s="158"/>
      <c r="B154" s="158"/>
      <c r="C154" s="158"/>
      <c r="D154" s="158"/>
      <c r="E154" s="158"/>
      <c r="F154" s="158"/>
      <c r="G154" s="158"/>
      <c r="H154" s="158"/>
      <c r="I154" s="158"/>
      <c r="J154" s="158"/>
      <c r="K154" s="158"/>
      <c r="L154" s="158"/>
      <c r="M154" s="158"/>
      <c r="N154" s="158"/>
      <c r="O154" s="158"/>
      <c r="P154" s="158"/>
      <c r="Q154" s="158"/>
      <c r="R154" s="158"/>
      <c r="S154" s="158"/>
      <c r="T154" s="158"/>
      <c r="U154" s="158"/>
      <c r="V154" s="158"/>
      <c r="W154" s="158"/>
      <c r="X154" s="158"/>
      <c r="Y154" s="158"/>
      <c r="Z154" s="158"/>
      <c r="AA154" s="158"/>
      <c r="AB154" s="158"/>
      <c r="AC154" s="158"/>
      <c r="AD154" s="158"/>
      <c r="AE154" s="158"/>
      <c r="AF154" s="158"/>
      <c r="AG154" s="158"/>
      <c r="AH154" s="158"/>
      <c r="AI154" s="158"/>
      <c r="AJ154" s="158"/>
      <c r="AK154" s="158"/>
      <c r="AL154" s="158"/>
      <c r="AM154" s="158"/>
    </row>
    <row r="155" spans="1:39" x14ac:dyDescent="0.35">
      <c r="A155" s="158"/>
      <c r="B155" s="158"/>
      <c r="C155" s="158"/>
      <c r="D155" s="158"/>
      <c r="E155" s="158"/>
      <c r="F155" s="158"/>
      <c r="G155" s="158"/>
      <c r="H155" s="158"/>
      <c r="I155" s="158"/>
      <c r="J155" s="158"/>
      <c r="K155" s="158"/>
      <c r="L155" s="158"/>
      <c r="M155" s="158"/>
      <c r="N155" s="158"/>
      <c r="O155" s="158"/>
      <c r="P155" s="158"/>
      <c r="Q155" s="158"/>
      <c r="R155" s="158"/>
      <c r="S155" s="158"/>
      <c r="T155" s="158"/>
      <c r="U155" s="158"/>
      <c r="V155" s="158"/>
      <c r="W155" s="158"/>
      <c r="X155" s="158"/>
      <c r="Y155" s="158"/>
      <c r="Z155" s="158"/>
      <c r="AA155" s="158"/>
      <c r="AB155" s="158"/>
      <c r="AC155" s="158"/>
      <c r="AD155" s="158"/>
      <c r="AE155" s="158"/>
      <c r="AF155" s="158"/>
      <c r="AG155" s="158"/>
      <c r="AH155" s="158"/>
      <c r="AI155" s="158"/>
      <c r="AJ155" s="158"/>
      <c r="AK155" s="158"/>
      <c r="AL155" s="158"/>
      <c r="AM155" s="158"/>
    </row>
    <row r="156" spans="1:39" x14ac:dyDescent="0.35">
      <c r="A156" s="158"/>
      <c r="B156" s="158"/>
      <c r="C156" s="158"/>
      <c r="D156" s="158"/>
      <c r="E156" s="158"/>
      <c r="F156" s="158"/>
      <c r="G156" s="158"/>
      <c r="H156" s="158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  <c r="T156" s="158"/>
      <c r="U156" s="158"/>
      <c r="V156" s="158"/>
      <c r="W156" s="158"/>
      <c r="X156" s="158"/>
      <c r="Y156" s="158"/>
      <c r="Z156" s="158"/>
      <c r="AA156" s="158"/>
      <c r="AB156" s="158"/>
      <c r="AC156" s="158"/>
      <c r="AD156" s="158"/>
      <c r="AE156" s="158"/>
      <c r="AF156" s="158"/>
      <c r="AG156" s="158"/>
      <c r="AH156" s="158"/>
      <c r="AI156" s="158"/>
      <c r="AJ156" s="158"/>
      <c r="AK156" s="158"/>
      <c r="AL156" s="158"/>
      <c r="AM156" s="158"/>
    </row>
    <row r="157" spans="1:39" x14ac:dyDescent="0.35">
      <c r="A157" s="158"/>
      <c r="B157" s="158"/>
      <c r="C157" s="158"/>
      <c r="D157" s="158"/>
      <c r="E157" s="158"/>
      <c r="F157" s="158"/>
      <c r="G157" s="158"/>
      <c r="H157" s="158"/>
      <c r="I157" s="158"/>
      <c r="J157" s="158"/>
      <c r="K157" s="158"/>
      <c r="L157" s="158"/>
      <c r="M157" s="158"/>
      <c r="N157" s="158"/>
      <c r="O157" s="158"/>
      <c r="P157" s="158"/>
      <c r="Q157" s="158"/>
      <c r="R157" s="158"/>
      <c r="S157" s="158"/>
      <c r="T157" s="158"/>
      <c r="U157" s="158"/>
      <c r="V157" s="158"/>
      <c r="W157" s="158"/>
      <c r="X157" s="158"/>
      <c r="Y157" s="158"/>
      <c r="Z157" s="158"/>
      <c r="AA157" s="158"/>
      <c r="AB157" s="158"/>
      <c r="AC157" s="158"/>
      <c r="AD157" s="158"/>
      <c r="AE157" s="158"/>
      <c r="AF157" s="158"/>
      <c r="AG157" s="158"/>
      <c r="AH157" s="158"/>
      <c r="AI157" s="158"/>
      <c r="AJ157" s="158"/>
      <c r="AK157" s="158"/>
      <c r="AL157" s="158"/>
      <c r="AM157" s="158"/>
    </row>
    <row r="158" spans="1:39" x14ac:dyDescent="0.35">
      <c r="A158" s="158"/>
      <c r="B158" s="158"/>
      <c r="C158" s="158"/>
      <c r="D158" s="158"/>
      <c r="E158" s="158"/>
      <c r="F158" s="158"/>
      <c r="G158" s="158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  <c r="T158" s="158"/>
      <c r="U158" s="158"/>
      <c r="V158" s="158"/>
      <c r="W158" s="158"/>
      <c r="X158" s="158"/>
      <c r="Y158" s="158"/>
      <c r="Z158" s="158"/>
      <c r="AA158" s="158"/>
      <c r="AB158" s="158"/>
      <c r="AC158" s="158"/>
      <c r="AD158" s="158"/>
      <c r="AE158" s="158"/>
      <c r="AF158" s="158"/>
      <c r="AG158" s="158"/>
      <c r="AH158" s="158"/>
      <c r="AI158" s="158"/>
      <c r="AJ158" s="158"/>
      <c r="AK158" s="158"/>
      <c r="AL158" s="158"/>
      <c r="AM158" s="158"/>
    </row>
    <row r="159" spans="1:39" x14ac:dyDescent="0.35">
      <c r="A159" s="158"/>
      <c r="B159" s="158"/>
      <c r="C159" s="158"/>
      <c r="D159" s="158"/>
      <c r="E159" s="158"/>
      <c r="F159" s="158"/>
      <c r="G159" s="158"/>
      <c r="H159" s="158"/>
      <c r="I159" s="158"/>
      <c r="J159" s="158"/>
      <c r="K159" s="158"/>
      <c r="L159" s="158"/>
      <c r="M159" s="158"/>
      <c r="N159" s="158"/>
      <c r="O159" s="158"/>
      <c r="P159" s="158"/>
      <c r="Q159" s="158"/>
      <c r="R159" s="158"/>
      <c r="S159" s="158"/>
      <c r="T159" s="158"/>
      <c r="U159" s="158"/>
      <c r="V159" s="158"/>
      <c r="W159" s="158"/>
      <c r="X159" s="158"/>
      <c r="Y159" s="158"/>
      <c r="Z159" s="158"/>
      <c r="AA159" s="158"/>
      <c r="AB159" s="158"/>
      <c r="AC159" s="158"/>
      <c r="AD159" s="158"/>
      <c r="AE159" s="158"/>
      <c r="AF159" s="158"/>
      <c r="AG159" s="158"/>
      <c r="AH159" s="158"/>
      <c r="AI159" s="158"/>
      <c r="AJ159" s="158"/>
      <c r="AK159" s="158"/>
      <c r="AL159" s="158"/>
      <c r="AM159" s="158"/>
    </row>
    <row r="160" spans="1:39" x14ac:dyDescent="0.35">
      <c r="A160" s="158"/>
      <c r="B160" s="158"/>
      <c r="C160" s="158"/>
      <c r="D160" s="158"/>
      <c r="E160" s="158"/>
      <c r="F160" s="158"/>
      <c r="G160" s="158"/>
      <c r="H160" s="158"/>
      <c r="I160" s="158"/>
      <c r="J160" s="158"/>
      <c r="K160" s="158"/>
      <c r="L160" s="158"/>
      <c r="M160" s="158"/>
      <c r="N160" s="158"/>
      <c r="O160" s="158"/>
      <c r="P160" s="158"/>
      <c r="Q160" s="158"/>
      <c r="R160" s="158"/>
      <c r="S160" s="158"/>
      <c r="T160" s="158"/>
      <c r="U160" s="158"/>
      <c r="V160" s="158"/>
      <c r="W160" s="158"/>
      <c r="X160" s="158"/>
      <c r="Y160" s="158"/>
      <c r="Z160" s="158"/>
      <c r="AA160" s="158"/>
      <c r="AB160" s="158"/>
      <c r="AC160" s="158"/>
      <c r="AD160" s="158"/>
      <c r="AE160" s="158"/>
      <c r="AF160" s="158"/>
      <c r="AG160" s="158"/>
      <c r="AH160" s="158"/>
      <c r="AI160" s="158"/>
      <c r="AJ160" s="158"/>
      <c r="AK160" s="158"/>
      <c r="AL160" s="158"/>
      <c r="AM160" s="158"/>
    </row>
    <row r="161" spans="1:39" x14ac:dyDescent="0.35">
      <c r="A161" s="158"/>
      <c r="B161" s="158"/>
      <c r="C161" s="158"/>
      <c r="D161" s="158"/>
      <c r="E161" s="158"/>
      <c r="F161" s="158"/>
      <c r="G161" s="158"/>
      <c r="H161" s="158"/>
      <c r="I161" s="158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  <c r="T161" s="158"/>
      <c r="U161" s="158"/>
      <c r="V161" s="158"/>
      <c r="W161" s="158"/>
      <c r="X161" s="158"/>
      <c r="Y161" s="158"/>
      <c r="Z161" s="158"/>
      <c r="AA161" s="158"/>
      <c r="AB161" s="158"/>
      <c r="AC161" s="158"/>
      <c r="AD161" s="158"/>
      <c r="AE161" s="158"/>
      <c r="AF161" s="158"/>
      <c r="AG161" s="158"/>
      <c r="AH161" s="158"/>
      <c r="AI161" s="158"/>
      <c r="AJ161" s="158"/>
      <c r="AK161" s="158"/>
      <c r="AL161" s="158"/>
      <c r="AM161" s="158"/>
    </row>
    <row r="162" spans="1:39" x14ac:dyDescent="0.35">
      <c r="A162" s="158"/>
      <c r="B162" s="158"/>
      <c r="C162" s="158"/>
      <c r="D162" s="158"/>
      <c r="E162" s="158"/>
      <c r="F162" s="158"/>
      <c r="G162" s="158"/>
      <c r="H162" s="158"/>
      <c r="I162" s="158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  <c r="T162" s="158"/>
      <c r="U162" s="158"/>
      <c r="V162" s="158"/>
      <c r="W162" s="158"/>
      <c r="X162" s="158"/>
      <c r="Y162" s="158"/>
      <c r="Z162" s="158"/>
      <c r="AA162" s="158"/>
      <c r="AB162" s="158"/>
      <c r="AC162" s="158"/>
      <c r="AD162" s="158"/>
      <c r="AE162" s="158"/>
      <c r="AF162" s="158"/>
      <c r="AG162" s="158"/>
      <c r="AH162" s="158"/>
      <c r="AI162" s="158"/>
      <c r="AJ162" s="158"/>
      <c r="AK162" s="158"/>
      <c r="AL162" s="158"/>
      <c r="AM162" s="158"/>
    </row>
    <row r="163" spans="1:39" x14ac:dyDescent="0.35">
      <c r="A163" s="158"/>
      <c r="B163" s="158"/>
      <c r="C163" s="158"/>
      <c r="D163" s="158"/>
      <c r="E163" s="158"/>
      <c r="F163" s="158"/>
      <c r="G163" s="158"/>
      <c r="H163" s="158"/>
      <c r="I163" s="158"/>
      <c r="J163" s="158"/>
      <c r="K163" s="158"/>
      <c r="L163" s="158"/>
      <c r="M163" s="158"/>
      <c r="N163" s="158"/>
      <c r="O163" s="158"/>
      <c r="P163" s="158"/>
      <c r="Q163" s="158"/>
      <c r="R163" s="158"/>
      <c r="S163" s="158"/>
      <c r="T163" s="158"/>
      <c r="U163" s="158"/>
      <c r="V163" s="158"/>
      <c r="W163" s="158"/>
      <c r="X163" s="158"/>
      <c r="Y163" s="158"/>
      <c r="Z163" s="158"/>
      <c r="AA163" s="158"/>
      <c r="AB163" s="158"/>
      <c r="AC163" s="158"/>
      <c r="AD163" s="158"/>
      <c r="AE163" s="158"/>
      <c r="AF163" s="158"/>
      <c r="AG163" s="158"/>
      <c r="AH163" s="158"/>
      <c r="AI163" s="158"/>
      <c r="AJ163" s="158"/>
      <c r="AK163" s="158"/>
      <c r="AL163" s="158"/>
      <c r="AM163" s="158"/>
    </row>
    <row r="164" spans="1:39" x14ac:dyDescent="0.35">
      <c r="A164" s="158"/>
      <c r="B164" s="158"/>
      <c r="C164" s="158"/>
      <c r="D164" s="158"/>
      <c r="E164" s="158"/>
      <c r="F164" s="158"/>
      <c r="G164" s="158"/>
      <c r="H164" s="158"/>
      <c r="I164" s="158"/>
      <c r="J164" s="158"/>
      <c r="K164" s="158"/>
      <c r="L164" s="158"/>
      <c r="M164" s="158"/>
      <c r="N164" s="158"/>
      <c r="O164" s="158"/>
      <c r="P164" s="158"/>
      <c r="Q164" s="158"/>
      <c r="R164" s="158"/>
      <c r="S164" s="158"/>
      <c r="T164" s="158"/>
      <c r="U164" s="158"/>
      <c r="V164" s="158"/>
      <c r="W164" s="158"/>
      <c r="X164" s="158"/>
      <c r="Y164" s="158"/>
      <c r="Z164" s="158"/>
      <c r="AA164" s="158"/>
      <c r="AB164" s="158"/>
      <c r="AC164" s="158"/>
      <c r="AD164" s="158"/>
      <c r="AE164" s="158"/>
      <c r="AF164" s="158"/>
      <c r="AG164" s="158"/>
      <c r="AH164" s="158"/>
      <c r="AI164" s="158"/>
      <c r="AJ164" s="158"/>
      <c r="AK164" s="158"/>
      <c r="AL164" s="158"/>
      <c r="AM164" s="158"/>
    </row>
    <row r="165" spans="1:39" x14ac:dyDescent="0.35">
      <c r="A165" s="158"/>
      <c r="B165" s="158"/>
      <c r="C165" s="158"/>
      <c r="D165" s="158"/>
      <c r="E165" s="158"/>
      <c r="F165" s="158"/>
      <c r="G165" s="158"/>
      <c r="H165" s="158"/>
      <c r="I165" s="158"/>
      <c r="J165" s="158"/>
      <c r="K165" s="158"/>
      <c r="L165" s="158"/>
      <c r="M165" s="158"/>
      <c r="N165" s="158"/>
      <c r="O165" s="158"/>
      <c r="P165" s="158"/>
      <c r="Q165" s="158"/>
      <c r="R165" s="158"/>
      <c r="S165" s="158"/>
      <c r="T165" s="158"/>
      <c r="U165" s="158"/>
      <c r="V165" s="158"/>
      <c r="W165" s="158"/>
      <c r="X165" s="158"/>
      <c r="Y165" s="158"/>
      <c r="Z165" s="158"/>
      <c r="AA165" s="158"/>
      <c r="AB165" s="158"/>
      <c r="AC165" s="158"/>
      <c r="AD165" s="158"/>
      <c r="AE165" s="158"/>
      <c r="AF165" s="158"/>
      <c r="AG165" s="158"/>
      <c r="AH165" s="158"/>
      <c r="AI165" s="158"/>
      <c r="AJ165" s="158"/>
      <c r="AK165" s="158"/>
      <c r="AL165" s="158"/>
      <c r="AM165" s="158"/>
    </row>
    <row r="166" spans="1:39" x14ac:dyDescent="0.35">
      <c r="A166" s="158"/>
      <c r="B166" s="158"/>
      <c r="C166" s="158"/>
      <c r="D166" s="158"/>
      <c r="E166" s="158"/>
      <c r="F166" s="158"/>
      <c r="G166" s="158"/>
      <c r="H166" s="158"/>
      <c r="I166" s="158"/>
      <c r="J166" s="158"/>
      <c r="K166" s="158"/>
      <c r="L166" s="158"/>
      <c r="M166" s="158"/>
      <c r="N166" s="158"/>
      <c r="O166" s="158"/>
      <c r="P166" s="158"/>
      <c r="Q166" s="158"/>
      <c r="R166" s="158"/>
      <c r="S166" s="158"/>
      <c r="T166" s="158"/>
      <c r="U166" s="158"/>
      <c r="V166" s="158"/>
      <c r="W166" s="158"/>
      <c r="X166" s="158"/>
      <c r="Y166" s="158"/>
      <c r="Z166" s="158"/>
      <c r="AA166" s="158"/>
      <c r="AB166" s="158"/>
      <c r="AC166" s="158"/>
      <c r="AD166" s="158"/>
      <c r="AE166" s="158"/>
      <c r="AF166" s="158"/>
      <c r="AG166" s="158"/>
      <c r="AH166" s="158"/>
      <c r="AI166" s="158"/>
      <c r="AJ166" s="158"/>
      <c r="AK166" s="158"/>
      <c r="AL166" s="158"/>
      <c r="AM166" s="158"/>
    </row>
    <row r="167" spans="1:39" x14ac:dyDescent="0.35">
      <c r="A167" s="158"/>
      <c r="B167" s="158"/>
      <c r="C167" s="158"/>
      <c r="D167" s="158"/>
      <c r="E167" s="158"/>
      <c r="F167" s="158"/>
      <c r="G167" s="158"/>
      <c r="H167" s="158"/>
      <c r="I167" s="158"/>
      <c r="J167" s="158"/>
      <c r="K167" s="158"/>
      <c r="L167" s="158"/>
      <c r="M167" s="158"/>
      <c r="N167" s="158"/>
      <c r="O167" s="158"/>
      <c r="P167" s="158"/>
      <c r="Q167" s="158"/>
      <c r="R167" s="158"/>
      <c r="S167" s="158"/>
      <c r="T167" s="158"/>
      <c r="U167" s="158"/>
      <c r="V167" s="158"/>
      <c r="W167" s="158"/>
      <c r="X167" s="158"/>
      <c r="Y167" s="158"/>
      <c r="Z167" s="158"/>
      <c r="AA167" s="158"/>
      <c r="AB167" s="158"/>
      <c r="AC167" s="158"/>
      <c r="AD167" s="158"/>
      <c r="AE167" s="158"/>
      <c r="AF167" s="158"/>
      <c r="AG167" s="158"/>
      <c r="AH167" s="158"/>
      <c r="AI167" s="158"/>
      <c r="AJ167" s="158"/>
      <c r="AK167" s="158"/>
      <c r="AL167" s="158"/>
      <c r="AM167" s="158"/>
    </row>
    <row r="168" spans="1:39" x14ac:dyDescent="0.35">
      <c r="A168" s="158"/>
      <c r="B168" s="158"/>
      <c r="C168" s="158"/>
      <c r="D168" s="158"/>
      <c r="E168" s="158"/>
      <c r="F168" s="158"/>
      <c r="G168" s="158"/>
      <c r="H168" s="158"/>
      <c r="I168" s="158"/>
      <c r="J168" s="158"/>
      <c r="K168" s="158"/>
      <c r="L168" s="158"/>
      <c r="M168" s="158"/>
      <c r="N168" s="158"/>
      <c r="O168" s="158"/>
      <c r="P168" s="158"/>
      <c r="Q168" s="158"/>
      <c r="R168" s="158"/>
      <c r="S168" s="158"/>
      <c r="T168" s="158"/>
      <c r="U168" s="158"/>
      <c r="V168" s="158"/>
      <c r="W168" s="158"/>
      <c r="X168" s="158"/>
      <c r="Y168" s="158"/>
      <c r="Z168" s="158"/>
      <c r="AA168" s="158"/>
      <c r="AB168" s="158"/>
      <c r="AC168" s="158"/>
      <c r="AD168" s="158"/>
      <c r="AE168" s="158"/>
      <c r="AF168" s="158"/>
      <c r="AG168" s="158"/>
      <c r="AH168" s="158"/>
      <c r="AI168" s="158"/>
      <c r="AJ168" s="158"/>
      <c r="AK168" s="158"/>
      <c r="AL168" s="158"/>
      <c r="AM168" s="158"/>
    </row>
    <row r="169" spans="1:39" x14ac:dyDescent="0.35">
      <c r="A169" s="158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8"/>
      <c r="AF169" s="158"/>
      <c r="AG169" s="158"/>
      <c r="AH169" s="158"/>
      <c r="AI169" s="158"/>
      <c r="AJ169" s="158"/>
      <c r="AK169" s="158"/>
      <c r="AL169" s="158"/>
      <c r="AM169" s="158"/>
    </row>
    <row r="170" spans="1:39" x14ac:dyDescent="0.35">
      <c r="A170" s="158"/>
      <c r="B170" s="158"/>
      <c r="C170" s="158"/>
      <c r="D170" s="158"/>
      <c r="E170" s="158"/>
      <c r="F170" s="158"/>
      <c r="G170" s="158"/>
      <c r="H170" s="158"/>
      <c r="I170" s="158"/>
      <c r="J170" s="158"/>
      <c r="K170" s="158"/>
      <c r="L170" s="158"/>
      <c r="M170" s="158"/>
      <c r="N170" s="158"/>
      <c r="O170" s="158"/>
      <c r="P170" s="158"/>
      <c r="Q170" s="158"/>
      <c r="R170" s="158"/>
      <c r="S170" s="158"/>
      <c r="T170" s="158"/>
      <c r="U170" s="158"/>
      <c r="V170" s="158"/>
      <c r="W170" s="158"/>
      <c r="X170" s="158"/>
      <c r="Y170" s="158"/>
      <c r="Z170" s="158"/>
      <c r="AA170" s="158"/>
      <c r="AB170" s="158"/>
      <c r="AC170" s="158"/>
      <c r="AD170" s="158"/>
      <c r="AE170" s="158"/>
      <c r="AF170" s="158"/>
      <c r="AG170" s="158"/>
      <c r="AH170" s="158"/>
      <c r="AI170" s="158"/>
      <c r="AJ170" s="158"/>
      <c r="AK170" s="158"/>
      <c r="AL170" s="158"/>
      <c r="AM170" s="158"/>
    </row>
    <row r="171" spans="1:39" x14ac:dyDescent="0.35">
      <c r="A171" s="158"/>
      <c r="B171" s="158"/>
      <c r="C171" s="158"/>
      <c r="D171" s="158"/>
      <c r="E171" s="158"/>
      <c r="F171" s="158"/>
      <c r="G171" s="158"/>
      <c r="H171" s="158"/>
      <c r="I171" s="158"/>
      <c r="J171" s="158"/>
      <c r="K171" s="158"/>
      <c r="L171" s="158"/>
      <c r="M171" s="158"/>
      <c r="N171" s="158"/>
      <c r="O171" s="158"/>
      <c r="P171" s="158"/>
      <c r="Q171" s="158"/>
      <c r="R171" s="158"/>
      <c r="S171" s="158"/>
      <c r="T171" s="158"/>
      <c r="U171" s="158"/>
      <c r="V171" s="158"/>
      <c r="W171" s="158"/>
      <c r="X171" s="158"/>
      <c r="Y171" s="158"/>
      <c r="Z171" s="158"/>
      <c r="AA171" s="158"/>
      <c r="AB171" s="158"/>
      <c r="AC171" s="158"/>
      <c r="AD171" s="158"/>
      <c r="AE171" s="158"/>
      <c r="AF171" s="158"/>
      <c r="AG171" s="158"/>
      <c r="AH171" s="158"/>
      <c r="AI171" s="158"/>
      <c r="AJ171" s="158"/>
      <c r="AK171" s="158"/>
      <c r="AL171" s="158"/>
      <c r="AM171" s="158"/>
    </row>
    <row r="172" spans="1:39" x14ac:dyDescent="0.35">
      <c r="A172" s="158"/>
      <c r="B172" s="158"/>
      <c r="C172" s="158"/>
      <c r="D172" s="158"/>
      <c r="E172" s="158"/>
      <c r="F172" s="158"/>
      <c r="G172" s="158"/>
      <c r="H172" s="158"/>
      <c r="I172" s="158"/>
      <c r="J172" s="158"/>
      <c r="K172" s="158"/>
      <c r="L172" s="158"/>
      <c r="M172" s="158"/>
      <c r="N172" s="158"/>
      <c r="O172" s="158"/>
      <c r="P172" s="158"/>
      <c r="Q172" s="158"/>
      <c r="R172" s="158"/>
      <c r="S172" s="158"/>
      <c r="T172" s="158"/>
      <c r="U172" s="158"/>
      <c r="V172" s="158"/>
      <c r="W172" s="158"/>
      <c r="X172" s="158"/>
      <c r="Y172" s="158"/>
      <c r="Z172" s="158"/>
      <c r="AA172" s="158"/>
      <c r="AB172" s="158"/>
      <c r="AC172" s="158"/>
      <c r="AD172" s="158"/>
      <c r="AE172" s="158"/>
      <c r="AF172" s="158"/>
      <c r="AG172" s="158"/>
      <c r="AH172" s="158"/>
      <c r="AI172" s="158"/>
      <c r="AJ172" s="158"/>
      <c r="AK172" s="158"/>
      <c r="AL172" s="158"/>
      <c r="AM172" s="158"/>
    </row>
    <row r="173" spans="1:39" x14ac:dyDescent="0.35">
      <c r="A173" s="158"/>
      <c r="B173" s="158"/>
      <c r="C173" s="158"/>
      <c r="D173" s="158"/>
      <c r="E173" s="158"/>
      <c r="F173" s="158"/>
      <c r="G173" s="158"/>
      <c r="H173" s="158"/>
      <c r="I173" s="158"/>
      <c r="J173" s="158"/>
      <c r="K173" s="158"/>
      <c r="L173" s="158"/>
      <c r="M173" s="158"/>
      <c r="N173" s="158"/>
      <c r="O173" s="158"/>
      <c r="P173" s="158"/>
      <c r="Q173" s="158"/>
      <c r="R173" s="158"/>
      <c r="S173" s="158"/>
      <c r="T173" s="158"/>
      <c r="U173" s="158"/>
      <c r="V173" s="158"/>
      <c r="W173" s="158"/>
      <c r="X173" s="158"/>
      <c r="Y173" s="158"/>
      <c r="Z173" s="158"/>
      <c r="AA173" s="158"/>
      <c r="AB173" s="158"/>
      <c r="AC173" s="158"/>
      <c r="AD173" s="158"/>
      <c r="AE173" s="158"/>
      <c r="AF173" s="158"/>
      <c r="AG173" s="158"/>
      <c r="AH173" s="158"/>
      <c r="AI173" s="158"/>
      <c r="AJ173" s="158"/>
      <c r="AK173" s="158"/>
      <c r="AL173" s="158"/>
      <c r="AM173" s="158"/>
    </row>
    <row r="174" spans="1:39" x14ac:dyDescent="0.35">
      <c r="A174" s="158"/>
      <c r="B174" s="158"/>
      <c r="C174" s="158"/>
      <c r="D174" s="158"/>
      <c r="E174" s="158"/>
      <c r="F174" s="158"/>
      <c r="G174" s="158"/>
      <c r="H174" s="158"/>
      <c r="I174" s="158"/>
      <c r="J174" s="158"/>
      <c r="K174" s="158"/>
      <c r="L174" s="158"/>
      <c r="M174" s="158"/>
      <c r="N174" s="158"/>
      <c r="O174" s="158"/>
      <c r="P174" s="158"/>
      <c r="Q174" s="158"/>
      <c r="R174" s="158"/>
      <c r="S174" s="158"/>
      <c r="T174" s="158"/>
      <c r="U174" s="158"/>
      <c r="V174" s="158"/>
      <c r="W174" s="158"/>
      <c r="X174" s="158"/>
      <c r="Y174" s="158"/>
      <c r="Z174" s="158"/>
      <c r="AA174" s="158"/>
      <c r="AB174" s="158"/>
      <c r="AC174" s="158"/>
      <c r="AD174" s="158"/>
      <c r="AE174" s="158"/>
      <c r="AF174" s="158"/>
      <c r="AG174" s="158"/>
      <c r="AH174" s="158"/>
      <c r="AI174" s="158"/>
      <c r="AJ174" s="158"/>
      <c r="AK174" s="158"/>
      <c r="AL174" s="158"/>
      <c r="AM174" s="158"/>
    </row>
    <row r="175" spans="1:39" x14ac:dyDescent="0.35">
      <c r="A175" s="158"/>
      <c r="B175" s="158"/>
      <c r="C175" s="158"/>
      <c r="D175" s="158"/>
      <c r="E175" s="158"/>
      <c r="F175" s="158"/>
      <c r="G175" s="158"/>
      <c r="H175" s="158"/>
      <c r="I175" s="158"/>
      <c r="J175" s="158"/>
      <c r="K175" s="158"/>
      <c r="L175" s="158"/>
      <c r="M175" s="158"/>
      <c r="N175" s="158"/>
      <c r="O175" s="158"/>
      <c r="P175" s="158"/>
      <c r="Q175" s="158"/>
      <c r="R175" s="158"/>
      <c r="S175" s="158"/>
      <c r="T175" s="158"/>
      <c r="U175" s="158"/>
      <c r="V175" s="158"/>
      <c r="W175" s="158"/>
      <c r="X175" s="158"/>
      <c r="Y175" s="158"/>
      <c r="Z175" s="158"/>
      <c r="AA175" s="158"/>
      <c r="AB175" s="158"/>
      <c r="AC175" s="158"/>
      <c r="AD175" s="158"/>
      <c r="AE175" s="158"/>
      <c r="AF175" s="158"/>
      <c r="AG175" s="158"/>
      <c r="AH175" s="158"/>
      <c r="AI175" s="158"/>
      <c r="AJ175" s="158"/>
      <c r="AK175" s="158"/>
      <c r="AL175" s="158"/>
      <c r="AM175" s="158"/>
    </row>
    <row r="176" spans="1:39" x14ac:dyDescent="0.35">
      <c r="A176" s="158"/>
      <c r="B176" s="158"/>
      <c r="C176" s="158"/>
      <c r="D176" s="158"/>
      <c r="E176" s="158"/>
      <c r="F176" s="158"/>
      <c r="G176" s="158"/>
      <c r="H176" s="158"/>
      <c r="I176" s="158"/>
      <c r="J176" s="158"/>
      <c r="K176" s="158"/>
      <c r="L176" s="158"/>
      <c r="M176" s="158"/>
      <c r="N176" s="158"/>
      <c r="O176" s="158"/>
      <c r="P176" s="158"/>
      <c r="Q176" s="158"/>
      <c r="R176" s="158"/>
      <c r="S176" s="158"/>
      <c r="T176" s="158"/>
      <c r="U176" s="158"/>
      <c r="V176" s="158"/>
      <c r="W176" s="158"/>
      <c r="X176" s="158"/>
      <c r="Y176" s="158"/>
      <c r="Z176" s="158"/>
      <c r="AA176" s="158"/>
      <c r="AB176" s="158"/>
      <c r="AC176" s="158"/>
      <c r="AD176" s="158"/>
      <c r="AE176" s="158"/>
      <c r="AF176" s="158"/>
      <c r="AG176" s="158"/>
      <c r="AH176" s="158"/>
      <c r="AI176" s="158"/>
      <c r="AJ176" s="158"/>
      <c r="AK176" s="158"/>
      <c r="AL176" s="158"/>
      <c r="AM176" s="158"/>
    </row>
    <row r="177" spans="1:39" x14ac:dyDescent="0.35">
      <c r="A177" s="158"/>
      <c r="B177" s="158"/>
      <c r="C177" s="158"/>
      <c r="D177" s="158"/>
      <c r="E177" s="158"/>
      <c r="F177" s="158"/>
      <c r="G177" s="158"/>
      <c r="H177" s="158"/>
      <c r="I177" s="158"/>
      <c r="J177" s="158"/>
      <c r="K177" s="158"/>
      <c r="L177" s="158"/>
      <c r="M177" s="158"/>
      <c r="N177" s="158"/>
      <c r="O177" s="158"/>
      <c r="P177" s="158"/>
      <c r="Q177" s="158"/>
      <c r="R177" s="158"/>
      <c r="S177" s="158"/>
      <c r="T177" s="158"/>
      <c r="U177" s="158"/>
      <c r="V177" s="158"/>
      <c r="W177" s="158"/>
      <c r="X177" s="158"/>
      <c r="Y177" s="158"/>
      <c r="Z177" s="158"/>
      <c r="AA177" s="158"/>
      <c r="AB177" s="158"/>
      <c r="AC177" s="158"/>
      <c r="AD177" s="158"/>
      <c r="AE177" s="158"/>
      <c r="AF177" s="158"/>
      <c r="AG177" s="158"/>
      <c r="AH177" s="158"/>
      <c r="AI177" s="158"/>
      <c r="AJ177" s="158"/>
      <c r="AK177" s="158"/>
      <c r="AL177" s="158"/>
      <c r="AM177" s="158"/>
    </row>
    <row r="178" spans="1:39" x14ac:dyDescent="0.35">
      <c r="A178" s="158"/>
      <c r="B178" s="158"/>
      <c r="C178" s="158"/>
      <c r="D178" s="158"/>
      <c r="E178" s="158"/>
      <c r="F178" s="158"/>
      <c r="G178" s="158"/>
      <c r="H178" s="158"/>
      <c r="I178" s="158"/>
      <c r="J178" s="158"/>
      <c r="K178" s="158"/>
      <c r="L178" s="158"/>
      <c r="M178" s="158"/>
      <c r="N178" s="158"/>
      <c r="O178" s="158"/>
      <c r="P178" s="158"/>
      <c r="Q178" s="158"/>
      <c r="R178" s="158"/>
      <c r="S178" s="158"/>
      <c r="T178" s="158"/>
      <c r="U178" s="158"/>
      <c r="V178" s="158"/>
      <c r="W178" s="158"/>
      <c r="X178" s="158"/>
      <c r="Y178" s="158"/>
      <c r="Z178" s="158"/>
      <c r="AA178" s="158"/>
      <c r="AB178" s="158"/>
      <c r="AC178" s="158"/>
      <c r="AD178" s="158"/>
      <c r="AE178" s="158"/>
      <c r="AF178" s="158"/>
      <c r="AG178" s="158"/>
      <c r="AH178" s="158"/>
      <c r="AI178" s="158"/>
      <c r="AJ178" s="158"/>
      <c r="AK178" s="158"/>
      <c r="AL178" s="158"/>
      <c r="AM178" s="158"/>
    </row>
    <row r="179" spans="1:39" x14ac:dyDescent="0.35">
      <c r="A179" s="158"/>
      <c r="B179" s="158"/>
      <c r="C179" s="158"/>
      <c r="D179" s="158"/>
      <c r="E179" s="158"/>
      <c r="F179" s="158"/>
      <c r="G179" s="158"/>
      <c r="H179" s="158"/>
      <c r="I179" s="158"/>
      <c r="J179" s="158"/>
      <c r="K179" s="158"/>
      <c r="L179" s="158"/>
      <c r="M179" s="158"/>
      <c r="N179" s="158"/>
      <c r="O179" s="158"/>
      <c r="P179" s="158"/>
      <c r="Q179" s="158"/>
      <c r="R179" s="158"/>
      <c r="S179" s="158"/>
      <c r="T179" s="158"/>
      <c r="U179" s="158"/>
      <c r="V179" s="158"/>
      <c r="W179" s="158"/>
      <c r="X179" s="158"/>
      <c r="Y179" s="158"/>
      <c r="Z179" s="158"/>
      <c r="AA179" s="158"/>
      <c r="AB179" s="158"/>
      <c r="AC179" s="158"/>
      <c r="AD179" s="158"/>
      <c r="AE179" s="158"/>
      <c r="AF179" s="158"/>
      <c r="AG179" s="158"/>
      <c r="AH179" s="158"/>
      <c r="AI179" s="158"/>
      <c r="AJ179" s="158"/>
      <c r="AK179" s="158"/>
      <c r="AL179" s="158"/>
      <c r="AM179" s="158"/>
    </row>
    <row r="180" spans="1:39" x14ac:dyDescent="0.35">
      <c r="A180" s="158"/>
      <c r="B180" s="158"/>
      <c r="C180" s="158"/>
      <c r="D180" s="158"/>
      <c r="E180" s="158"/>
      <c r="F180" s="158"/>
      <c r="G180" s="158"/>
      <c r="H180" s="158"/>
      <c r="I180" s="158"/>
      <c r="J180" s="158"/>
      <c r="K180" s="158"/>
      <c r="L180" s="158"/>
      <c r="M180" s="158"/>
      <c r="N180" s="158"/>
      <c r="O180" s="158"/>
      <c r="P180" s="158"/>
      <c r="Q180" s="158"/>
      <c r="R180" s="158"/>
      <c r="S180" s="158"/>
      <c r="T180" s="158"/>
      <c r="U180" s="158"/>
      <c r="V180" s="158"/>
      <c r="W180" s="158"/>
      <c r="X180" s="158"/>
      <c r="Y180" s="158"/>
      <c r="Z180" s="158"/>
      <c r="AA180" s="158"/>
      <c r="AB180" s="158"/>
      <c r="AC180" s="158"/>
      <c r="AD180" s="158"/>
      <c r="AE180" s="158"/>
      <c r="AF180" s="158"/>
      <c r="AG180" s="158"/>
      <c r="AH180" s="158"/>
      <c r="AI180" s="158"/>
      <c r="AJ180" s="158"/>
      <c r="AK180" s="158"/>
      <c r="AL180" s="158"/>
      <c r="AM180" s="158"/>
    </row>
    <row r="181" spans="1:39" x14ac:dyDescent="0.35">
      <c r="A181" s="158"/>
      <c r="B181" s="158"/>
      <c r="C181" s="158"/>
      <c r="D181" s="158"/>
      <c r="E181" s="158"/>
      <c r="F181" s="158"/>
      <c r="G181" s="158"/>
      <c r="H181" s="158"/>
      <c r="I181" s="158"/>
      <c r="J181" s="158"/>
      <c r="K181" s="158"/>
      <c r="L181" s="158"/>
      <c r="M181" s="158"/>
      <c r="N181" s="158"/>
      <c r="O181" s="158"/>
      <c r="P181" s="158"/>
      <c r="Q181" s="158"/>
      <c r="R181" s="158"/>
      <c r="S181" s="158"/>
      <c r="T181" s="158"/>
      <c r="U181" s="158"/>
      <c r="V181" s="158"/>
      <c r="W181" s="158"/>
      <c r="X181" s="158"/>
      <c r="Y181" s="158"/>
      <c r="Z181" s="158"/>
      <c r="AA181" s="158"/>
      <c r="AB181" s="158"/>
      <c r="AC181" s="158"/>
      <c r="AD181" s="158"/>
      <c r="AE181" s="158"/>
      <c r="AF181" s="158"/>
      <c r="AG181" s="158"/>
      <c r="AH181" s="158"/>
      <c r="AI181" s="158"/>
      <c r="AJ181" s="158"/>
      <c r="AK181" s="158"/>
      <c r="AL181" s="158"/>
      <c r="AM181" s="158"/>
    </row>
    <row r="182" spans="1:39" x14ac:dyDescent="0.35">
      <c r="A182" s="158"/>
      <c r="B182" s="158"/>
      <c r="C182" s="158"/>
      <c r="D182" s="158"/>
      <c r="E182" s="158"/>
      <c r="F182" s="158"/>
      <c r="G182" s="158"/>
      <c r="H182" s="158"/>
      <c r="I182" s="158"/>
      <c r="J182" s="158"/>
      <c r="K182" s="158"/>
      <c r="L182" s="158"/>
      <c r="M182" s="158"/>
      <c r="N182" s="158"/>
      <c r="O182" s="158"/>
      <c r="P182" s="158"/>
      <c r="Q182" s="158"/>
      <c r="R182" s="158"/>
      <c r="S182" s="158"/>
      <c r="T182" s="158"/>
      <c r="U182" s="158"/>
      <c r="V182" s="158"/>
      <c r="W182" s="158"/>
      <c r="X182" s="158"/>
      <c r="Y182" s="158"/>
      <c r="Z182" s="158"/>
      <c r="AA182" s="158"/>
      <c r="AB182" s="158"/>
      <c r="AC182" s="158"/>
      <c r="AD182" s="158"/>
      <c r="AE182" s="158"/>
      <c r="AF182" s="158"/>
      <c r="AG182" s="158"/>
      <c r="AH182" s="158"/>
      <c r="AI182" s="158"/>
      <c r="AJ182" s="158"/>
      <c r="AK182" s="158"/>
      <c r="AL182" s="158"/>
      <c r="AM182" s="158"/>
    </row>
    <row r="183" spans="1:39" x14ac:dyDescent="0.35">
      <c r="A183" s="158"/>
      <c r="B183" s="158"/>
      <c r="C183" s="158"/>
      <c r="D183" s="158"/>
      <c r="E183" s="158"/>
      <c r="F183" s="158"/>
      <c r="G183" s="158"/>
      <c r="H183" s="158"/>
      <c r="I183" s="158"/>
      <c r="J183" s="158"/>
      <c r="K183" s="158"/>
      <c r="L183" s="158"/>
      <c r="M183" s="158"/>
      <c r="N183" s="158"/>
      <c r="O183" s="158"/>
      <c r="P183" s="158"/>
      <c r="Q183" s="158"/>
      <c r="R183" s="158"/>
      <c r="S183" s="158"/>
      <c r="T183" s="158"/>
      <c r="U183" s="158"/>
      <c r="V183" s="158"/>
      <c r="W183" s="158"/>
      <c r="X183" s="158"/>
      <c r="Y183" s="158"/>
      <c r="Z183" s="158"/>
      <c r="AA183" s="158"/>
      <c r="AB183" s="158"/>
      <c r="AC183" s="158"/>
      <c r="AD183" s="158"/>
      <c r="AE183" s="158"/>
      <c r="AF183" s="158"/>
      <c r="AG183" s="158"/>
      <c r="AH183" s="158"/>
      <c r="AI183" s="158"/>
      <c r="AJ183" s="158"/>
      <c r="AK183" s="158"/>
      <c r="AL183" s="158"/>
      <c r="AM183" s="158"/>
    </row>
  </sheetData>
  <sortState xmlns:xlrd2="http://schemas.microsoft.com/office/spreadsheetml/2017/richdata2" ref="B7:F11">
    <sortCondition ref="B7:B11"/>
  </sortState>
  <mergeCells count="4">
    <mergeCell ref="C5:F5"/>
    <mergeCell ref="B14:F14"/>
    <mergeCell ref="B3:F3"/>
    <mergeCell ref="B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7D47E-1F83-4408-A76D-B1A7CCC44B31}">
  <sheetPr codeName="Sheet2"/>
  <dimension ref="A3:F28"/>
  <sheetViews>
    <sheetView workbookViewId="0">
      <selection activeCell="B22" sqref="B22"/>
    </sheetView>
  </sheetViews>
  <sheetFormatPr defaultRowHeight="15" x14ac:dyDescent="0.25"/>
  <cols>
    <col min="1" max="1" width="27.42578125" customWidth="1"/>
    <col min="2" max="2" width="53" customWidth="1"/>
    <col min="3" max="3" width="21.5703125" customWidth="1"/>
    <col min="4" max="4" width="28.5703125" customWidth="1"/>
    <col min="5" max="5" width="28.42578125" customWidth="1"/>
    <col min="6" max="6" width="20.42578125" bestFit="1" customWidth="1"/>
    <col min="7" max="7" width="17.42578125" customWidth="1"/>
  </cols>
  <sheetData>
    <row r="3" spans="1:6" x14ac:dyDescent="0.25">
      <c r="A3" s="173" t="s">
        <v>19</v>
      </c>
      <c r="B3" s="171" t="s">
        <v>20</v>
      </c>
      <c r="C3" s="170" t="s">
        <v>21</v>
      </c>
      <c r="D3" s="179" t="s">
        <v>22</v>
      </c>
      <c r="E3" s="178" t="s">
        <v>23</v>
      </c>
      <c r="F3" s="177" t="s">
        <v>24</v>
      </c>
    </row>
    <row r="4" spans="1:6" x14ac:dyDescent="0.25">
      <c r="B4" s="176" t="s">
        <v>25</v>
      </c>
      <c r="C4" s="180" t="b">
        <v>0</v>
      </c>
    </row>
    <row r="5" spans="1:6" ht="25.5" x14ac:dyDescent="0.25">
      <c r="B5" s="176" t="s">
        <v>26</v>
      </c>
      <c r="C5" s="180" t="b">
        <v>0</v>
      </c>
    </row>
    <row r="6" spans="1:6" x14ac:dyDescent="0.25">
      <c r="B6" s="176" t="s">
        <v>27</v>
      </c>
      <c r="C6" s="180" t="b">
        <v>0</v>
      </c>
    </row>
    <row r="7" spans="1:6" x14ac:dyDescent="0.25">
      <c r="B7" s="176" t="s">
        <v>28</v>
      </c>
      <c r="C7" s="180" t="b">
        <v>0</v>
      </c>
    </row>
    <row r="8" spans="1:6" x14ac:dyDescent="0.25">
      <c r="B8" s="176" t="s">
        <v>29</v>
      </c>
      <c r="C8" s="180" t="b">
        <v>0</v>
      </c>
    </row>
    <row r="9" spans="1:6" x14ac:dyDescent="0.25">
      <c r="B9" s="176" t="s">
        <v>30</v>
      </c>
      <c r="C9" s="180" t="b">
        <v>0</v>
      </c>
    </row>
    <row r="10" spans="1:6" x14ac:dyDescent="0.25">
      <c r="B10" s="181" t="s">
        <v>31</v>
      </c>
      <c r="C10" s="180" t="b">
        <v>0</v>
      </c>
    </row>
    <row r="11" spans="1:6" x14ac:dyDescent="0.25">
      <c r="B11" s="176" t="s">
        <v>32</v>
      </c>
      <c r="C11" s="180" t="b">
        <v>0</v>
      </c>
    </row>
    <row r="12" spans="1:6" ht="25.5" x14ac:dyDescent="0.25">
      <c r="B12" s="176" t="s">
        <v>33</v>
      </c>
      <c r="C12" s="180" t="b">
        <v>0</v>
      </c>
    </row>
    <row r="13" spans="1:6" ht="25.5" x14ac:dyDescent="0.25">
      <c r="B13" s="176" t="s">
        <v>34</v>
      </c>
      <c r="C13" s="180" t="b">
        <v>0</v>
      </c>
    </row>
    <row r="14" spans="1:6" x14ac:dyDescent="0.25">
      <c r="B14" s="176" t="s">
        <v>35</v>
      </c>
      <c r="C14" s="180" t="b">
        <v>0</v>
      </c>
    </row>
    <row r="15" spans="1:6" x14ac:dyDescent="0.25">
      <c r="B15" s="176" t="s">
        <v>36</v>
      </c>
      <c r="C15" s="180" t="b">
        <v>0</v>
      </c>
    </row>
    <row r="16" spans="1:6" x14ac:dyDescent="0.25">
      <c r="B16" s="176" t="s">
        <v>37</v>
      </c>
      <c r="C16" s="180" t="b">
        <v>0</v>
      </c>
      <c r="D16" s="174">
        <v>46081</v>
      </c>
    </row>
    <row r="17" spans="2:4" x14ac:dyDescent="0.25">
      <c r="B17" s="176" t="s">
        <v>38</v>
      </c>
      <c r="C17" s="180" t="b">
        <v>0</v>
      </c>
      <c r="D17" s="174">
        <v>46096</v>
      </c>
    </row>
    <row r="18" spans="2:4" x14ac:dyDescent="0.25">
      <c r="B18" s="181" t="s">
        <v>39</v>
      </c>
      <c r="C18" s="180" t="b">
        <v>0</v>
      </c>
      <c r="D18" s="175">
        <v>46052</v>
      </c>
    </row>
    <row r="19" spans="2:4" x14ac:dyDescent="0.25">
      <c r="B19" s="176" t="s">
        <v>40</v>
      </c>
      <c r="C19" s="180" t="b">
        <v>0</v>
      </c>
      <c r="D19" s="175">
        <v>46052</v>
      </c>
    </row>
    <row r="20" spans="2:4" x14ac:dyDescent="0.25">
      <c r="B20" s="176" t="s">
        <v>41</v>
      </c>
      <c r="C20" s="180" t="b">
        <v>0</v>
      </c>
      <c r="D20" s="175">
        <v>46068</v>
      </c>
    </row>
    <row r="21" spans="2:4" x14ac:dyDescent="0.25">
      <c r="B21" s="176" t="s">
        <v>42</v>
      </c>
      <c r="C21" s="180" t="b">
        <v>0</v>
      </c>
      <c r="D21" s="175">
        <v>46052</v>
      </c>
    </row>
    <row r="22" spans="2:4" x14ac:dyDescent="0.25">
      <c r="B22" s="176" t="s">
        <v>43</v>
      </c>
      <c r="C22" s="180" t="b">
        <v>0</v>
      </c>
      <c r="D22" s="175">
        <v>46068</v>
      </c>
    </row>
    <row r="23" spans="2:4" x14ac:dyDescent="0.25">
      <c r="B23" s="172"/>
    </row>
    <row r="24" spans="2:4" x14ac:dyDescent="0.25">
      <c r="B24" s="172"/>
    </row>
    <row r="25" spans="2:4" x14ac:dyDescent="0.25">
      <c r="B25" s="172"/>
    </row>
    <row r="26" spans="2:4" x14ac:dyDescent="0.25">
      <c r="B26" s="172"/>
    </row>
    <row r="27" spans="2:4" x14ac:dyDescent="0.25">
      <c r="B27" s="172" t="s">
        <v>44</v>
      </c>
    </row>
    <row r="28" spans="2:4" x14ac:dyDescent="0.25">
      <c r="B28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27BB4-1A46-480A-8C46-5DA10796E858}">
  <sheetPr codeName="Sheet3"/>
  <dimension ref="A2:Q27"/>
  <sheetViews>
    <sheetView topLeftCell="C12" zoomScale="85" zoomScaleNormal="85" workbookViewId="0">
      <selection activeCell="D20" sqref="D20"/>
    </sheetView>
  </sheetViews>
  <sheetFormatPr defaultRowHeight="15" x14ac:dyDescent="0.25"/>
  <cols>
    <col min="1" max="1" width="3.42578125" customWidth="1"/>
    <col min="2" max="2" width="9.42578125" style="385"/>
    <col min="3" max="3" width="67.85546875" bestFit="1" customWidth="1"/>
    <col min="4" max="4" width="83.42578125" customWidth="1"/>
    <col min="5" max="5" width="42.5703125" customWidth="1"/>
    <col min="6" max="6" width="26.42578125" customWidth="1"/>
    <col min="7" max="7" width="27" style="402" customWidth="1"/>
    <col min="8" max="8" width="27" customWidth="1"/>
    <col min="9" max="9" width="26.42578125" customWidth="1"/>
    <col min="10" max="10" width="19.5703125" style="373" customWidth="1"/>
    <col min="11" max="11" width="34.42578125" customWidth="1"/>
    <col min="12" max="12" width="12.5703125" bestFit="1" customWidth="1"/>
    <col min="13" max="13" width="15.5703125" customWidth="1"/>
    <col min="14" max="14" width="19.5703125" customWidth="1"/>
  </cols>
  <sheetData>
    <row r="2" spans="1:17" x14ac:dyDescent="0.25">
      <c r="C2" s="392"/>
      <c r="D2" s="378"/>
    </row>
    <row r="3" spans="1:17" ht="18.75" x14ac:dyDescent="0.25">
      <c r="D3" s="379"/>
      <c r="E3" s="366"/>
      <c r="F3" s="366"/>
      <c r="G3" s="402" t="s">
        <v>436</v>
      </c>
      <c r="H3" s="389"/>
      <c r="I3" s="455" t="s">
        <v>353</v>
      </c>
      <c r="J3" s="455"/>
      <c r="K3" s="371" t="s">
        <v>354</v>
      </c>
      <c r="L3" s="455" t="s">
        <v>362</v>
      </c>
      <c r="M3" s="455"/>
    </row>
    <row r="4" spans="1:17" ht="18.75" x14ac:dyDescent="0.25">
      <c r="B4" s="388" t="s">
        <v>355</v>
      </c>
      <c r="C4" s="374" t="s">
        <v>356</v>
      </c>
      <c r="D4" s="388" t="s">
        <v>357</v>
      </c>
      <c r="E4" s="372" t="s">
        <v>358</v>
      </c>
      <c r="F4" s="372" t="s">
        <v>404</v>
      </c>
      <c r="G4" s="403" t="s">
        <v>402</v>
      </c>
      <c r="H4" s="372" t="s">
        <v>270</v>
      </c>
      <c r="I4" s="375" t="s">
        <v>359</v>
      </c>
      <c r="J4" s="375" t="s">
        <v>400</v>
      </c>
      <c r="K4" s="377" t="s">
        <v>401</v>
      </c>
      <c r="L4" s="375" t="s">
        <v>361</v>
      </c>
      <c r="M4" s="376" t="s">
        <v>360</v>
      </c>
      <c r="N4" s="375"/>
    </row>
    <row r="5" spans="1:17" ht="24" x14ac:dyDescent="0.3">
      <c r="B5" s="393"/>
      <c r="C5" s="395" t="s">
        <v>399</v>
      </c>
      <c r="D5" s="390"/>
      <c r="E5" s="390"/>
      <c r="F5" s="390"/>
      <c r="H5" s="394"/>
    </row>
    <row r="6" spans="1:17" ht="30" x14ac:dyDescent="0.25">
      <c r="B6" s="394">
        <v>1</v>
      </c>
      <c r="C6" s="391" t="s">
        <v>365</v>
      </c>
      <c r="D6" s="391" t="s">
        <v>366</v>
      </c>
      <c r="E6" s="391" t="s">
        <v>367</v>
      </c>
      <c r="F6" s="394" t="s">
        <v>405</v>
      </c>
      <c r="G6" s="402" t="s">
        <v>434</v>
      </c>
      <c r="H6" s="394" t="s">
        <v>118</v>
      </c>
      <c r="I6" s="373" t="s">
        <v>403</v>
      </c>
      <c r="J6" s="394"/>
      <c r="K6" s="415" t="s">
        <v>435</v>
      </c>
      <c r="L6" s="397" t="b">
        <v>1</v>
      </c>
      <c r="M6" s="397" t="b">
        <v>1</v>
      </c>
      <c r="N6" s="373"/>
    </row>
    <row r="7" spans="1:17" ht="30" x14ac:dyDescent="0.25">
      <c r="B7" s="394">
        <v>2</v>
      </c>
      <c r="C7" s="391" t="s">
        <v>368</v>
      </c>
      <c r="D7" s="391" t="s">
        <v>369</v>
      </c>
      <c r="E7" s="391" t="s">
        <v>367</v>
      </c>
      <c r="F7" s="394" t="s">
        <v>406</v>
      </c>
      <c r="G7" s="402" t="s">
        <v>416</v>
      </c>
      <c r="H7" s="394" t="s">
        <v>12</v>
      </c>
      <c r="I7" s="373"/>
      <c r="J7" s="394"/>
      <c r="K7" s="373"/>
      <c r="L7" s="397" t="b">
        <v>0</v>
      </c>
      <c r="M7" s="397" t="b">
        <v>0</v>
      </c>
      <c r="N7" s="373"/>
    </row>
    <row r="8" spans="1:17" ht="30" x14ac:dyDescent="0.25">
      <c r="B8" s="394">
        <v>3</v>
      </c>
      <c r="C8" s="391" t="s">
        <v>412</v>
      </c>
      <c r="D8" s="391" t="s">
        <v>370</v>
      </c>
      <c r="E8" s="391" t="s">
        <v>367</v>
      </c>
      <c r="F8" s="394" t="s">
        <v>406</v>
      </c>
      <c r="G8" s="402" t="s">
        <v>417</v>
      </c>
      <c r="H8" s="394" t="s">
        <v>118</v>
      </c>
      <c r="I8" s="373"/>
      <c r="J8" s="394"/>
      <c r="K8" s="373"/>
      <c r="L8" s="397" t="b">
        <v>0</v>
      </c>
      <c r="M8" s="397" t="b">
        <v>0</v>
      </c>
      <c r="N8" s="373"/>
    </row>
    <row r="9" spans="1:17" ht="30" x14ac:dyDescent="0.25">
      <c r="B9" s="394">
        <v>4</v>
      </c>
      <c r="C9" s="391" t="s">
        <v>412</v>
      </c>
      <c r="D9" s="391" t="s">
        <v>371</v>
      </c>
      <c r="E9" s="391" t="s">
        <v>367</v>
      </c>
      <c r="F9" s="394" t="s">
        <v>406</v>
      </c>
      <c r="G9" s="402" t="s">
        <v>418</v>
      </c>
      <c r="H9" s="394" t="s">
        <v>118</v>
      </c>
      <c r="I9" s="373"/>
      <c r="J9" s="394"/>
      <c r="K9" s="373"/>
      <c r="L9" s="397" t="b">
        <v>0</v>
      </c>
      <c r="M9" s="397" t="b">
        <v>0</v>
      </c>
      <c r="N9" s="373"/>
    </row>
    <row r="10" spans="1:17" s="405" customFormat="1" ht="45" x14ac:dyDescent="0.25">
      <c r="B10" s="406">
        <v>5</v>
      </c>
      <c r="C10" s="407" t="s">
        <v>372</v>
      </c>
      <c r="D10" s="407" t="s">
        <v>373</v>
      </c>
      <c r="E10" s="407" t="s">
        <v>414</v>
      </c>
      <c r="F10" s="406" t="s">
        <v>406</v>
      </c>
      <c r="G10" s="408" t="s">
        <v>419</v>
      </c>
      <c r="H10" s="406" t="s">
        <v>118</v>
      </c>
      <c r="I10" s="409"/>
      <c r="J10" s="406"/>
      <c r="K10" s="409"/>
      <c r="L10" s="410" t="b">
        <v>0</v>
      </c>
      <c r="M10" s="410" t="b">
        <v>0</v>
      </c>
      <c r="N10" s="409"/>
    </row>
    <row r="11" spans="1:17" ht="45" x14ac:dyDescent="0.25">
      <c r="B11" s="394">
        <v>6</v>
      </c>
      <c r="C11" s="391" t="s">
        <v>374</v>
      </c>
      <c r="D11" s="391" t="s">
        <v>410</v>
      </c>
      <c r="E11" s="391" t="s">
        <v>415</v>
      </c>
      <c r="F11" s="394" t="s">
        <v>406</v>
      </c>
      <c r="G11" s="402" t="s">
        <v>420</v>
      </c>
      <c r="H11" s="398" t="s">
        <v>118</v>
      </c>
      <c r="I11" s="373"/>
      <c r="J11" s="394"/>
      <c r="K11" s="373"/>
      <c r="L11" s="397" t="b">
        <v>0</v>
      </c>
      <c r="M11" s="397" t="b">
        <v>0</v>
      </c>
      <c r="N11" s="373"/>
    </row>
    <row r="12" spans="1:17" s="396" customFormat="1" ht="30" x14ac:dyDescent="0.25">
      <c r="A12" s="392"/>
      <c r="B12" s="394">
        <v>7</v>
      </c>
      <c r="C12" s="399" t="s">
        <v>375</v>
      </c>
      <c r="D12" s="399" t="s">
        <v>376</v>
      </c>
      <c r="E12" s="399" t="s">
        <v>367</v>
      </c>
      <c r="F12" s="398" t="s">
        <v>406</v>
      </c>
      <c r="G12" s="404" t="s">
        <v>421</v>
      </c>
      <c r="H12" s="398" t="s">
        <v>12</v>
      </c>
      <c r="I12" s="400"/>
      <c r="J12" s="398"/>
      <c r="K12" s="400"/>
      <c r="L12" s="401" t="b">
        <v>0</v>
      </c>
      <c r="M12" s="401" t="b">
        <v>0</v>
      </c>
      <c r="N12" s="400"/>
      <c r="O12" s="392"/>
      <c r="P12" s="392"/>
      <c r="Q12" s="392"/>
    </row>
    <row r="13" spans="1:17" ht="45" x14ac:dyDescent="0.25">
      <c r="B13" s="394">
        <v>8</v>
      </c>
      <c r="C13" s="391" t="s">
        <v>377</v>
      </c>
      <c r="D13" s="391" t="s">
        <v>407</v>
      </c>
      <c r="E13" s="391" t="s">
        <v>367</v>
      </c>
      <c r="F13" s="398" t="s">
        <v>408</v>
      </c>
      <c r="G13" s="402" t="s">
        <v>422</v>
      </c>
      <c r="H13" s="394"/>
      <c r="I13" s="373"/>
      <c r="J13" s="394"/>
      <c r="K13" s="373"/>
      <c r="L13" s="397" t="b">
        <v>0</v>
      </c>
      <c r="M13" s="397" t="b">
        <v>0</v>
      </c>
      <c r="N13" s="373"/>
    </row>
    <row r="14" spans="1:17" ht="30" x14ac:dyDescent="0.25">
      <c r="B14" s="394">
        <v>9</v>
      </c>
      <c r="C14" s="391" t="s">
        <v>378</v>
      </c>
      <c r="D14" s="391" t="s">
        <v>379</v>
      </c>
      <c r="E14" s="391" t="s">
        <v>367</v>
      </c>
      <c r="F14" s="394" t="s">
        <v>406</v>
      </c>
      <c r="G14" s="402" t="s">
        <v>423</v>
      </c>
      <c r="H14" s="398" t="s">
        <v>118</v>
      </c>
      <c r="I14" s="373"/>
      <c r="J14" s="394"/>
      <c r="K14" s="373"/>
      <c r="L14" s="397" t="b">
        <v>0</v>
      </c>
      <c r="M14" s="397" t="b">
        <v>0</v>
      </c>
      <c r="N14" s="373"/>
    </row>
    <row r="15" spans="1:17" ht="24" x14ac:dyDescent="0.25">
      <c r="B15" s="394"/>
      <c r="C15" s="395" t="s">
        <v>380</v>
      </c>
      <c r="F15" s="373"/>
      <c r="H15" s="394"/>
      <c r="I15" s="373"/>
      <c r="K15" s="373"/>
      <c r="L15" s="397" t="b">
        <v>0</v>
      </c>
      <c r="M15" s="397" t="b">
        <v>0</v>
      </c>
      <c r="N15" s="373"/>
    </row>
    <row r="16" spans="1:17" ht="45" x14ac:dyDescent="0.25">
      <c r="B16" s="394">
        <v>10</v>
      </c>
      <c r="C16" s="391" t="s">
        <v>411</v>
      </c>
      <c r="D16" s="391" t="s">
        <v>381</v>
      </c>
      <c r="E16" s="391" t="s">
        <v>382</v>
      </c>
      <c r="F16" s="394" t="s">
        <v>406</v>
      </c>
      <c r="G16" s="404" t="s">
        <v>424</v>
      </c>
      <c r="H16" s="398" t="s">
        <v>12</v>
      </c>
      <c r="I16" s="373"/>
      <c r="J16" s="394"/>
      <c r="K16" s="373"/>
      <c r="L16" s="397" t="b">
        <v>0</v>
      </c>
      <c r="M16" s="397" t="b">
        <v>0</v>
      </c>
      <c r="N16" s="373"/>
    </row>
    <row r="17" spans="2:14" ht="35.25" customHeight="1" x14ac:dyDescent="0.25">
      <c r="B17" s="394">
        <v>11</v>
      </c>
      <c r="C17" s="391" t="s">
        <v>383</v>
      </c>
      <c r="D17" s="391" t="s">
        <v>384</v>
      </c>
      <c r="E17" s="391" t="s">
        <v>385</v>
      </c>
      <c r="F17" s="394" t="s">
        <v>406</v>
      </c>
      <c r="G17" s="402" t="s">
        <v>425</v>
      </c>
      <c r="H17" s="398" t="s">
        <v>118</v>
      </c>
      <c r="I17" s="373"/>
      <c r="J17" s="394"/>
      <c r="K17" s="373"/>
      <c r="L17" s="397" t="b">
        <v>0</v>
      </c>
      <c r="M17" s="397" t="b">
        <v>0</v>
      </c>
      <c r="N17" s="373"/>
    </row>
    <row r="18" spans="2:14" ht="33.75" customHeight="1" x14ac:dyDescent="0.25">
      <c r="B18" s="394">
        <v>12</v>
      </c>
      <c r="C18" s="391" t="s">
        <v>412</v>
      </c>
      <c r="D18" s="391" t="s">
        <v>386</v>
      </c>
      <c r="E18" s="391" t="s">
        <v>382</v>
      </c>
      <c r="F18" s="394" t="s">
        <v>409</v>
      </c>
      <c r="G18" s="402" t="s">
        <v>420</v>
      </c>
      <c r="H18" s="394" t="s">
        <v>118</v>
      </c>
      <c r="I18" s="373"/>
      <c r="J18" s="394"/>
      <c r="K18" s="373"/>
      <c r="L18" s="397" t="b">
        <v>0</v>
      </c>
      <c r="M18" s="397" t="b">
        <v>0</v>
      </c>
      <c r="N18" s="373"/>
    </row>
    <row r="19" spans="2:14" ht="39.75" customHeight="1" x14ac:dyDescent="0.25">
      <c r="B19" s="394">
        <v>13</v>
      </c>
      <c r="C19" s="391" t="s">
        <v>412</v>
      </c>
      <c r="D19" s="391" t="s">
        <v>387</v>
      </c>
      <c r="E19" s="391" t="s">
        <v>382</v>
      </c>
      <c r="F19" s="394" t="s">
        <v>406</v>
      </c>
      <c r="G19" s="402" t="s">
        <v>426</v>
      </c>
      <c r="H19" s="394" t="s">
        <v>118</v>
      </c>
      <c r="I19" s="373"/>
      <c r="J19" s="394"/>
      <c r="K19" s="373"/>
      <c r="L19" s="397" t="b">
        <v>0</v>
      </c>
      <c r="M19" s="397" t="b">
        <v>0</v>
      </c>
      <c r="N19" s="373"/>
    </row>
    <row r="20" spans="2:14" ht="30" x14ac:dyDescent="0.25">
      <c r="B20" s="412">
        <v>14</v>
      </c>
      <c r="C20" s="413" t="s">
        <v>388</v>
      </c>
      <c r="D20" s="413" t="s">
        <v>389</v>
      </c>
      <c r="E20" s="413" t="s">
        <v>390</v>
      </c>
      <c r="F20" s="412" t="s">
        <v>405</v>
      </c>
      <c r="G20" s="414" t="s">
        <v>427</v>
      </c>
      <c r="H20" s="412" t="s">
        <v>12</v>
      </c>
      <c r="I20" s="373"/>
      <c r="J20" s="394"/>
      <c r="K20" s="373"/>
      <c r="L20" s="397" t="b">
        <v>0</v>
      </c>
      <c r="M20" s="397" t="b">
        <v>0</v>
      </c>
      <c r="N20" s="373"/>
    </row>
    <row r="21" spans="2:14" ht="30" x14ac:dyDescent="0.25">
      <c r="B21" s="394">
        <v>15</v>
      </c>
      <c r="C21" s="391" t="s">
        <v>412</v>
      </c>
      <c r="D21" s="391" t="s">
        <v>391</v>
      </c>
      <c r="E21" s="391" t="s">
        <v>385</v>
      </c>
      <c r="F21" s="394" t="s">
        <v>406</v>
      </c>
      <c r="G21" s="402" t="s">
        <v>429</v>
      </c>
      <c r="H21" s="394" t="s">
        <v>118</v>
      </c>
      <c r="I21" s="373"/>
      <c r="J21" s="394"/>
      <c r="K21" s="373"/>
      <c r="L21" s="397" t="b">
        <v>0</v>
      </c>
      <c r="M21" s="397" t="b">
        <v>0</v>
      </c>
      <c r="N21" s="373"/>
    </row>
    <row r="22" spans="2:14" ht="30" x14ac:dyDescent="0.25">
      <c r="B22" s="394">
        <v>16</v>
      </c>
      <c r="C22" s="391" t="s">
        <v>392</v>
      </c>
      <c r="D22" s="391" t="s">
        <v>393</v>
      </c>
      <c r="E22" s="391" t="s">
        <v>385</v>
      </c>
      <c r="F22" s="394" t="s">
        <v>406</v>
      </c>
      <c r="G22" s="402" t="s">
        <v>420</v>
      </c>
      <c r="H22" s="394" t="s">
        <v>118</v>
      </c>
      <c r="I22" s="373"/>
      <c r="J22" s="394"/>
      <c r="K22" s="373"/>
      <c r="L22" s="397" t="b">
        <v>0</v>
      </c>
      <c r="M22" s="397" t="b">
        <v>0</v>
      </c>
      <c r="N22" s="373"/>
    </row>
    <row r="23" spans="2:14" ht="30" x14ac:dyDescent="0.25">
      <c r="B23" s="394">
        <v>17</v>
      </c>
      <c r="C23" s="391" t="s">
        <v>394</v>
      </c>
      <c r="D23" s="391" t="s">
        <v>395</v>
      </c>
      <c r="E23" s="391" t="s">
        <v>390</v>
      </c>
      <c r="F23" s="394" t="s">
        <v>406</v>
      </c>
      <c r="G23" s="402" t="s">
        <v>430</v>
      </c>
      <c r="H23" s="398" t="s">
        <v>12</v>
      </c>
      <c r="I23" s="373"/>
      <c r="J23" s="394"/>
      <c r="K23" s="373"/>
      <c r="L23" s="397" t="b">
        <v>0</v>
      </c>
      <c r="M23" s="397" t="b">
        <v>0</v>
      </c>
      <c r="N23" s="373"/>
    </row>
    <row r="24" spans="2:14" ht="30" x14ac:dyDescent="0.25">
      <c r="B24" s="394">
        <v>18</v>
      </c>
      <c r="C24" s="391" t="s">
        <v>396</v>
      </c>
      <c r="D24" s="391" t="s">
        <v>413</v>
      </c>
      <c r="E24" s="391" t="s">
        <v>390</v>
      </c>
      <c r="F24" s="394" t="s">
        <v>406</v>
      </c>
      <c r="G24" s="402" t="s">
        <v>416</v>
      </c>
      <c r="H24" s="394" t="s">
        <v>118</v>
      </c>
      <c r="I24" s="373"/>
      <c r="J24" s="394"/>
      <c r="K24" s="373"/>
      <c r="L24" s="397" t="b">
        <v>0</v>
      </c>
      <c r="M24" s="397" t="b">
        <v>0</v>
      </c>
      <c r="N24" s="373"/>
    </row>
    <row r="25" spans="2:14" ht="45" x14ac:dyDescent="0.25">
      <c r="B25" s="394">
        <v>19</v>
      </c>
      <c r="C25" s="391" t="s">
        <v>397</v>
      </c>
      <c r="D25" s="391" t="s">
        <v>431</v>
      </c>
      <c r="E25" s="391" t="s">
        <v>382</v>
      </c>
      <c r="F25" s="394" t="s">
        <v>409</v>
      </c>
      <c r="G25" s="402" t="s">
        <v>433</v>
      </c>
      <c r="H25" s="394" t="s">
        <v>118</v>
      </c>
      <c r="I25" s="373"/>
      <c r="J25" s="394"/>
      <c r="K25" s="373"/>
      <c r="L25" s="397" t="b">
        <v>0</v>
      </c>
      <c r="M25" s="397" t="b">
        <v>0</v>
      </c>
      <c r="N25" s="373"/>
    </row>
    <row r="26" spans="2:14" ht="48" customHeight="1" x14ac:dyDescent="0.25">
      <c r="B26" s="394">
        <v>20</v>
      </c>
      <c r="C26" s="391" t="s">
        <v>278</v>
      </c>
      <c r="D26" s="391" t="s">
        <v>398</v>
      </c>
      <c r="E26" s="391" t="s">
        <v>382</v>
      </c>
      <c r="F26" s="394" t="s">
        <v>406</v>
      </c>
      <c r="G26" s="402" t="s">
        <v>432</v>
      </c>
      <c r="H26" s="394" t="s">
        <v>118</v>
      </c>
      <c r="I26" s="373"/>
      <c r="J26" s="394"/>
      <c r="K26" s="373"/>
      <c r="L26" s="397" t="b">
        <v>0</v>
      </c>
      <c r="M26" s="397" t="b">
        <v>0</v>
      </c>
      <c r="N26" s="373"/>
    </row>
    <row r="27" spans="2:14" x14ac:dyDescent="0.25">
      <c r="B27" s="394"/>
      <c r="C27" s="391"/>
      <c r="D27" s="391"/>
      <c r="F27" s="373"/>
      <c r="H27" s="373"/>
      <c r="I27" s="373"/>
      <c r="K27" s="373"/>
      <c r="L27" s="397" t="b">
        <v>0</v>
      </c>
      <c r="M27" s="397" t="b">
        <v>0</v>
      </c>
      <c r="N27" s="373"/>
    </row>
  </sheetData>
  <autoFilter ref="B4:N27" xr:uid="{C9427BB4-1A46-480A-8C46-5DA10796E858}"/>
  <mergeCells count="2">
    <mergeCell ref="I3:J3"/>
    <mergeCell ref="L3:M3"/>
  </mergeCells>
  <hyperlinks>
    <hyperlink ref="K6" r:id="rId1" display="https://dev.azure.com/ptbcp/IT.DIT/_workitems/edit/990394" xr:uid="{EA950E19-322C-4D5D-AB37-03D2798B6BB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246C9-F260-4FF7-B249-FF01940652B0}">
  <sheetPr codeName="Sheet4"/>
  <dimension ref="A1:V35"/>
  <sheetViews>
    <sheetView topLeftCell="A11" zoomScale="60" zoomScaleNormal="60" workbookViewId="0">
      <selection activeCell="G14" sqref="G14"/>
    </sheetView>
  </sheetViews>
  <sheetFormatPr defaultRowHeight="15" x14ac:dyDescent="0.25"/>
  <cols>
    <col min="1" max="1" width="67.42578125" bestFit="1" customWidth="1"/>
    <col min="2" max="2" width="25.42578125" customWidth="1"/>
    <col min="3" max="3" width="25.42578125" bestFit="1" customWidth="1"/>
    <col min="4" max="4" width="25.42578125" customWidth="1"/>
    <col min="5" max="5" width="27.42578125" customWidth="1"/>
    <col min="6" max="6" width="25.5703125" customWidth="1"/>
    <col min="7" max="7" width="30.85546875" customWidth="1"/>
    <col min="8" max="9" width="20.5703125" customWidth="1"/>
    <col min="10" max="10" width="24.5703125" customWidth="1"/>
    <col min="11" max="11" width="23.5703125" customWidth="1"/>
    <col min="12" max="12" width="22" customWidth="1"/>
    <col min="13" max="13" width="22.5703125" customWidth="1"/>
    <col min="17" max="17" width="38" customWidth="1"/>
  </cols>
  <sheetData>
    <row r="1" spans="1:22" ht="18" x14ac:dyDescent="0.35">
      <c r="A1" s="157"/>
      <c r="B1" s="157"/>
      <c r="C1" s="157"/>
      <c r="D1" s="157"/>
      <c r="E1" s="157"/>
      <c r="F1" s="157"/>
      <c r="G1" s="157"/>
      <c r="H1" s="157"/>
    </row>
    <row r="2" spans="1:22" ht="42" customHeight="1" x14ac:dyDescent="0.25">
      <c r="A2" s="204" t="s">
        <v>46</v>
      </c>
      <c r="B2" s="204" t="s">
        <v>47</v>
      </c>
      <c r="C2" s="204" t="s">
        <v>48</v>
      </c>
      <c r="D2" s="204" t="s">
        <v>49</v>
      </c>
      <c r="E2" s="204" t="s">
        <v>50</v>
      </c>
      <c r="F2" s="204" t="s">
        <v>51</v>
      </c>
      <c r="G2" s="204" t="s">
        <v>52</v>
      </c>
      <c r="H2" s="204" t="s">
        <v>53</v>
      </c>
      <c r="I2" s="204" t="s">
        <v>54</v>
      </c>
      <c r="J2" s="204" t="s">
        <v>55</v>
      </c>
      <c r="K2" s="204" t="s">
        <v>56</v>
      </c>
      <c r="L2" s="204" t="s">
        <v>57</v>
      </c>
      <c r="M2" s="204" t="s">
        <v>58</v>
      </c>
      <c r="Q2" s="46"/>
    </row>
    <row r="3" spans="1:22" ht="35.1" customHeight="1" x14ac:dyDescent="0.25">
      <c r="A3" s="206" t="s">
        <v>59</v>
      </c>
      <c r="B3" s="186" t="s">
        <v>60</v>
      </c>
      <c r="C3" s="186" t="s">
        <v>60</v>
      </c>
      <c r="D3" s="186" t="s">
        <v>61</v>
      </c>
      <c r="E3" s="186"/>
      <c r="F3" s="186"/>
      <c r="G3" s="186"/>
      <c r="H3" s="186"/>
      <c r="I3" s="186"/>
      <c r="J3" s="186"/>
      <c r="K3" s="186"/>
      <c r="L3" s="186"/>
      <c r="M3" s="186"/>
      <c r="N3" s="384"/>
      <c r="O3" s="384"/>
      <c r="Q3" s="187"/>
    </row>
    <row r="4" spans="1:22" ht="35.1" customHeight="1" x14ac:dyDescent="0.25">
      <c r="A4" s="207" t="s">
        <v>62</v>
      </c>
      <c r="B4" s="186" t="s">
        <v>60</v>
      </c>
      <c r="C4" s="186" t="s">
        <v>60</v>
      </c>
      <c r="D4" s="186" t="s">
        <v>61</v>
      </c>
      <c r="E4" s="186"/>
      <c r="F4" s="186"/>
      <c r="G4" s="186"/>
      <c r="H4" s="186"/>
      <c r="I4" s="186"/>
      <c r="J4" s="186"/>
      <c r="K4" s="186"/>
      <c r="L4" s="186"/>
      <c r="M4" s="186"/>
      <c r="N4" s="384"/>
      <c r="O4" s="384"/>
      <c r="Q4" s="185" t="s">
        <v>63</v>
      </c>
    </row>
    <row r="5" spans="1:22" ht="40.35" customHeight="1" x14ac:dyDescent="0.25">
      <c r="A5" s="207" t="s">
        <v>64</v>
      </c>
      <c r="B5" s="186" t="s">
        <v>60</v>
      </c>
      <c r="C5" s="186" t="s">
        <v>60</v>
      </c>
      <c r="D5" s="186" t="s">
        <v>60</v>
      </c>
      <c r="E5" s="186"/>
      <c r="F5" s="186"/>
      <c r="G5" s="186"/>
      <c r="H5" s="186"/>
      <c r="I5" s="186"/>
      <c r="J5" s="186"/>
      <c r="K5" s="186"/>
      <c r="L5" s="186"/>
      <c r="M5" s="186"/>
      <c r="N5" s="384"/>
      <c r="O5" s="384"/>
      <c r="Q5" s="386" t="s">
        <v>364</v>
      </c>
      <c r="V5" s="382"/>
    </row>
    <row r="6" spans="1:22" ht="35.1" customHeight="1" x14ac:dyDescent="0.25">
      <c r="A6" s="207" t="s">
        <v>66</v>
      </c>
      <c r="B6" s="186" t="s">
        <v>67</v>
      </c>
      <c r="C6" s="186" t="s">
        <v>60</v>
      </c>
      <c r="D6" s="186" t="s">
        <v>60</v>
      </c>
      <c r="E6" s="387" t="s">
        <v>364</v>
      </c>
      <c r="F6" s="186"/>
      <c r="G6" s="186"/>
      <c r="H6" s="186"/>
      <c r="I6" s="186"/>
      <c r="J6" s="186"/>
      <c r="K6" s="186"/>
      <c r="L6" s="186"/>
      <c r="M6" s="186"/>
      <c r="N6" s="384"/>
      <c r="O6" s="384"/>
      <c r="Q6" s="381" t="s">
        <v>65</v>
      </c>
      <c r="V6" s="382"/>
    </row>
    <row r="7" spans="1:22" ht="35.1" customHeight="1" x14ac:dyDescent="0.25">
      <c r="A7" s="208" t="s">
        <v>69</v>
      </c>
      <c r="B7" s="201" t="s">
        <v>68</v>
      </c>
      <c r="C7" s="186" t="s">
        <v>67</v>
      </c>
      <c r="D7" s="186" t="s">
        <v>67</v>
      </c>
      <c r="E7" s="186" t="s">
        <v>61</v>
      </c>
      <c r="F7" s="186"/>
      <c r="G7" s="186"/>
      <c r="H7" s="186"/>
      <c r="I7" s="186"/>
      <c r="J7" s="186"/>
      <c r="K7" s="186"/>
      <c r="L7" s="186"/>
      <c r="M7" s="186"/>
      <c r="N7" s="384"/>
      <c r="O7" s="384"/>
      <c r="Q7" s="182" t="s">
        <v>68</v>
      </c>
      <c r="V7" s="382"/>
    </row>
    <row r="8" spans="1:22" ht="35.1" customHeight="1" x14ac:dyDescent="0.25">
      <c r="A8" s="208" t="s">
        <v>70</v>
      </c>
      <c r="B8" s="201" t="s">
        <v>68</v>
      </c>
      <c r="C8" s="186" t="s">
        <v>67</v>
      </c>
      <c r="D8" s="186" t="s">
        <v>67</v>
      </c>
      <c r="E8" s="186" t="s">
        <v>61</v>
      </c>
      <c r="F8" s="186"/>
      <c r="G8" s="186"/>
      <c r="H8" s="186"/>
      <c r="I8" s="186"/>
      <c r="J8" s="186"/>
      <c r="K8" s="186"/>
      <c r="L8" s="186"/>
      <c r="M8" s="186"/>
      <c r="N8" s="384"/>
      <c r="O8" s="384"/>
      <c r="Q8" s="380" t="s">
        <v>21</v>
      </c>
      <c r="V8" s="382"/>
    </row>
    <row r="9" spans="1:22" ht="41.25" customHeight="1" x14ac:dyDescent="0.25">
      <c r="A9" s="208" t="s">
        <v>71</v>
      </c>
      <c r="B9" s="203" t="s">
        <v>68</v>
      </c>
      <c r="C9" s="186" t="s">
        <v>67</v>
      </c>
      <c r="D9" s="186" t="s">
        <v>67</v>
      </c>
      <c r="E9" s="186" t="s">
        <v>67</v>
      </c>
      <c r="F9" s="186" t="s">
        <v>67</v>
      </c>
      <c r="G9" s="186" t="s">
        <v>67</v>
      </c>
      <c r="H9" s="186"/>
      <c r="I9" s="186"/>
      <c r="J9" s="186"/>
      <c r="K9" s="186"/>
      <c r="L9" s="186"/>
      <c r="M9" s="186"/>
      <c r="N9" s="384"/>
      <c r="O9" s="384"/>
      <c r="Q9" s="184" t="s">
        <v>67</v>
      </c>
    </row>
    <row r="10" spans="1:22" ht="35.1" customHeight="1" x14ac:dyDescent="0.25">
      <c r="A10" s="208" t="s">
        <v>72</v>
      </c>
      <c r="B10" s="186" t="s">
        <v>67</v>
      </c>
      <c r="C10" s="186" t="s">
        <v>67</v>
      </c>
      <c r="D10" s="186" t="s">
        <v>67</v>
      </c>
      <c r="E10" s="186" t="s">
        <v>61</v>
      </c>
      <c r="F10" s="186"/>
      <c r="G10" s="186"/>
      <c r="H10" s="186"/>
      <c r="I10" s="186"/>
      <c r="J10" s="186"/>
      <c r="K10" s="186"/>
      <c r="L10" s="186"/>
      <c r="M10" s="186"/>
      <c r="N10" s="384"/>
      <c r="O10" s="384"/>
      <c r="Q10" s="383" t="s">
        <v>60</v>
      </c>
    </row>
    <row r="11" spans="1:22" ht="35.1" customHeight="1" x14ac:dyDescent="0.25">
      <c r="A11" s="207" t="s">
        <v>73</v>
      </c>
      <c r="B11" s="186" t="s">
        <v>67</v>
      </c>
      <c r="C11" s="186" t="s">
        <v>67</v>
      </c>
      <c r="D11" s="186" t="s">
        <v>67</v>
      </c>
      <c r="E11" s="186" t="s">
        <v>67</v>
      </c>
      <c r="F11" s="186"/>
      <c r="G11" s="186"/>
      <c r="H11" s="186"/>
      <c r="I11" s="186"/>
      <c r="J11" s="186"/>
      <c r="K11" s="186"/>
      <c r="L11" s="186"/>
      <c r="M11" s="186"/>
      <c r="N11" s="384"/>
      <c r="O11" s="384"/>
      <c r="Q11" s="183" t="s">
        <v>61</v>
      </c>
    </row>
    <row r="12" spans="1:22" ht="35.1" customHeight="1" x14ac:dyDescent="0.35">
      <c r="A12" s="207" t="s">
        <v>74</v>
      </c>
      <c r="B12" s="201" t="s">
        <v>67</v>
      </c>
      <c r="C12" s="186" t="s">
        <v>67</v>
      </c>
      <c r="D12" s="186" t="s">
        <v>67</v>
      </c>
      <c r="E12" s="186" t="s">
        <v>67</v>
      </c>
      <c r="F12" s="205"/>
      <c r="G12" s="205"/>
      <c r="H12" s="205"/>
      <c r="I12" s="205"/>
      <c r="J12" s="205"/>
      <c r="K12" s="205"/>
      <c r="L12" s="205"/>
      <c r="M12" s="205"/>
      <c r="N12" s="384"/>
      <c r="O12" s="384"/>
    </row>
    <row r="13" spans="1:22" ht="35.1" customHeight="1" x14ac:dyDescent="0.35">
      <c r="A13" s="207" t="s">
        <v>75</v>
      </c>
      <c r="B13" s="201" t="s">
        <v>68</v>
      </c>
      <c r="C13" s="201" t="s">
        <v>68</v>
      </c>
      <c r="D13" s="186" t="s">
        <v>67</v>
      </c>
      <c r="E13" s="186" t="s">
        <v>60</v>
      </c>
      <c r="F13" s="445"/>
      <c r="G13" s="205"/>
      <c r="H13" s="205"/>
      <c r="I13" s="205"/>
      <c r="J13" s="205"/>
      <c r="K13" s="205"/>
      <c r="L13" s="205"/>
      <c r="M13" s="205"/>
      <c r="N13" s="384"/>
      <c r="O13" s="384"/>
    </row>
    <row r="14" spans="1:22" ht="35.1" customHeight="1" x14ac:dyDescent="0.25">
      <c r="A14" s="207" t="s">
        <v>493</v>
      </c>
      <c r="B14" s="201" t="s">
        <v>65</v>
      </c>
      <c r="C14" s="186" t="s">
        <v>68</v>
      </c>
      <c r="D14" s="203" t="s">
        <v>63</v>
      </c>
      <c r="E14" s="186" t="s">
        <v>63</v>
      </c>
      <c r="F14" s="446" t="s">
        <v>63</v>
      </c>
      <c r="G14" s="446" t="s">
        <v>63</v>
      </c>
      <c r="H14" s="186"/>
      <c r="I14" s="186"/>
      <c r="J14" s="186"/>
      <c r="K14" s="186"/>
      <c r="L14" s="186"/>
      <c r="M14" s="186"/>
      <c r="N14" s="384"/>
      <c r="O14" s="384"/>
    </row>
    <row r="15" spans="1:22" ht="35.1" customHeight="1" x14ac:dyDescent="0.35">
      <c r="A15" s="207" t="s">
        <v>76</v>
      </c>
      <c r="B15" s="201" t="s">
        <v>65</v>
      </c>
      <c r="C15" s="201" t="s">
        <v>65</v>
      </c>
      <c r="D15" s="201" t="s">
        <v>68</v>
      </c>
      <c r="E15" s="186" t="s">
        <v>67</v>
      </c>
      <c r="F15" s="205"/>
      <c r="G15" s="205"/>
      <c r="H15" s="205"/>
      <c r="I15" s="205"/>
      <c r="J15" s="205"/>
      <c r="K15" s="205"/>
      <c r="L15" s="205"/>
      <c r="M15" s="205"/>
      <c r="N15" s="384"/>
      <c r="O15" s="384"/>
    </row>
    <row r="16" spans="1:22" ht="34.5" customHeight="1" x14ac:dyDescent="0.25">
      <c r="A16" s="208" t="s">
        <v>77</v>
      </c>
      <c r="B16" s="201" t="s">
        <v>65</v>
      </c>
      <c r="C16" s="201" t="s">
        <v>65</v>
      </c>
      <c r="D16" s="186" t="s">
        <v>68</v>
      </c>
      <c r="E16" s="186" t="s">
        <v>68</v>
      </c>
      <c r="F16" s="186"/>
      <c r="G16" s="186"/>
      <c r="H16" s="186"/>
      <c r="I16" s="186"/>
      <c r="J16" s="186"/>
      <c r="K16" s="186"/>
      <c r="L16" s="186"/>
      <c r="M16" s="186"/>
      <c r="N16" s="384"/>
      <c r="O16" s="384"/>
    </row>
    <row r="17" spans="1:15" ht="35.1" customHeight="1" x14ac:dyDescent="0.25">
      <c r="A17" s="207" t="s">
        <v>43</v>
      </c>
      <c r="B17" s="201" t="s">
        <v>65</v>
      </c>
      <c r="C17" s="201" t="s">
        <v>65</v>
      </c>
      <c r="D17" s="186" t="s">
        <v>67</v>
      </c>
      <c r="E17" s="186" t="s">
        <v>67</v>
      </c>
      <c r="F17" s="186" t="s">
        <v>67</v>
      </c>
      <c r="G17" s="186" t="s">
        <v>67</v>
      </c>
      <c r="H17" s="186"/>
      <c r="I17" s="186"/>
      <c r="J17" s="186"/>
      <c r="K17" s="186"/>
      <c r="L17" s="186"/>
      <c r="M17" s="186"/>
      <c r="N17" s="384"/>
      <c r="O17" s="384"/>
    </row>
    <row r="18" spans="1:15" ht="35.1" customHeight="1" x14ac:dyDescent="0.25">
      <c r="A18" s="207" t="s">
        <v>29</v>
      </c>
      <c r="B18" s="201" t="s">
        <v>65</v>
      </c>
      <c r="C18" s="201" t="s">
        <v>65</v>
      </c>
      <c r="D18" s="186" t="s">
        <v>68</v>
      </c>
      <c r="E18" s="186" t="s">
        <v>68</v>
      </c>
      <c r="F18" s="186"/>
      <c r="G18" s="186"/>
      <c r="H18" s="186"/>
      <c r="I18" s="186"/>
      <c r="J18" s="186"/>
      <c r="K18" s="186"/>
      <c r="L18" s="186"/>
      <c r="M18" s="186"/>
      <c r="N18" s="384"/>
      <c r="O18" s="384"/>
    </row>
    <row r="19" spans="1:15" ht="35.1" customHeight="1" x14ac:dyDescent="0.25">
      <c r="A19" s="207" t="s">
        <v>78</v>
      </c>
      <c r="B19" s="203" t="s">
        <v>63</v>
      </c>
      <c r="C19" s="201" t="s">
        <v>65</v>
      </c>
      <c r="D19" s="186" t="s">
        <v>21</v>
      </c>
      <c r="E19" s="186" t="s">
        <v>21</v>
      </c>
      <c r="F19" s="186" t="s">
        <v>67</v>
      </c>
      <c r="G19" s="186" t="s">
        <v>67</v>
      </c>
      <c r="H19" s="186"/>
      <c r="I19" s="186"/>
      <c r="J19" s="186"/>
      <c r="K19" s="186"/>
      <c r="L19" s="186"/>
      <c r="M19" s="186"/>
      <c r="N19" s="384"/>
      <c r="O19" s="384"/>
    </row>
    <row r="20" spans="1:15" ht="35.1" customHeight="1" x14ac:dyDescent="0.35">
      <c r="A20" s="207" t="s">
        <v>79</v>
      </c>
      <c r="B20" s="203" t="s">
        <v>63</v>
      </c>
      <c r="C20" s="201" t="s">
        <v>65</v>
      </c>
      <c r="D20" s="387" t="s">
        <v>364</v>
      </c>
      <c r="E20" s="186" t="s">
        <v>68</v>
      </c>
      <c r="F20" s="186" t="s">
        <v>21</v>
      </c>
      <c r="G20" s="186" t="s">
        <v>21</v>
      </c>
      <c r="H20" s="205"/>
      <c r="I20" s="205"/>
      <c r="J20" s="205"/>
      <c r="K20" s="205"/>
      <c r="L20" s="205"/>
      <c r="M20" s="205"/>
      <c r="N20" s="384"/>
      <c r="O20" s="384"/>
    </row>
    <row r="21" spans="1:15" ht="35.1" customHeight="1" x14ac:dyDescent="0.25">
      <c r="A21" s="208" t="s">
        <v>80</v>
      </c>
      <c r="B21" s="201" t="s">
        <v>68</v>
      </c>
      <c r="C21" s="201" t="s">
        <v>68</v>
      </c>
      <c r="D21" s="201" t="s">
        <v>68</v>
      </c>
      <c r="E21" s="201" t="s">
        <v>68</v>
      </c>
      <c r="F21" s="186"/>
      <c r="G21" s="186"/>
      <c r="H21" s="186"/>
      <c r="I21" s="186"/>
      <c r="J21" s="186"/>
      <c r="K21" s="186"/>
      <c r="L21" s="186"/>
      <c r="M21" s="186"/>
      <c r="N21" s="384"/>
      <c r="O21" s="384"/>
    </row>
    <row r="22" spans="1:15" ht="35.1" customHeight="1" x14ac:dyDescent="0.25">
      <c r="A22" s="208" t="s">
        <v>81</v>
      </c>
      <c r="B22" s="201" t="s">
        <v>65</v>
      </c>
      <c r="C22" s="201" t="s">
        <v>65</v>
      </c>
      <c r="D22" s="201" t="s">
        <v>65</v>
      </c>
      <c r="E22" s="186" t="s">
        <v>63</v>
      </c>
      <c r="F22" s="186"/>
      <c r="G22" s="186"/>
      <c r="H22" s="186"/>
      <c r="I22" s="186"/>
      <c r="J22" s="186"/>
      <c r="K22" s="186"/>
      <c r="L22" s="186"/>
      <c r="M22" s="186"/>
      <c r="N22" s="384"/>
      <c r="O22" s="384"/>
    </row>
    <row r="23" spans="1:15" ht="35.1" customHeight="1" x14ac:dyDescent="0.25">
      <c r="A23" s="208" t="s">
        <v>82</v>
      </c>
      <c r="B23" s="201" t="s">
        <v>65</v>
      </c>
      <c r="C23" s="201" t="s">
        <v>65</v>
      </c>
      <c r="D23" s="201" t="s">
        <v>65</v>
      </c>
      <c r="E23" s="186" t="s">
        <v>63</v>
      </c>
      <c r="F23" s="186"/>
      <c r="G23" s="186"/>
      <c r="H23" s="186"/>
      <c r="I23" s="186"/>
      <c r="J23" s="186"/>
      <c r="K23" s="186"/>
      <c r="L23" s="186"/>
      <c r="M23" s="186"/>
      <c r="N23" s="384"/>
      <c r="O23" s="384"/>
    </row>
    <row r="24" spans="1:15" ht="35.1" customHeight="1" x14ac:dyDescent="0.25">
      <c r="A24" s="208" t="s">
        <v>83</v>
      </c>
      <c r="B24" s="201" t="s">
        <v>65</v>
      </c>
      <c r="C24" s="201" t="s">
        <v>65</v>
      </c>
      <c r="D24" s="201" t="s">
        <v>68</v>
      </c>
      <c r="E24" s="186" t="s">
        <v>68</v>
      </c>
      <c r="F24" s="186"/>
      <c r="G24" s="186"/>
      <c r="H24" s="186"/>
      <c r="I24" s="186"/>
      <c r="J24" s="186"/>
      <c r="K24" s="186"/>
      <c r="L24" s="186"/>
      <c r="M24" s="186"/>
      <c r="N24" s="384"/>
      <c r="O24" s="384"/>
    </row>
    <row r="25" spans="1:15" ht="35.1" customHeight="1" x14ac:dyDescent="0.25">
      <c r="A25" s="208" t="s">
        <v>84</v>
      </c>
      <c r="B25" s="201" t="s">
        <v>65</v>
      </c>
      <c r="C25" s="201" t="s">
        <v>65</v>
      </c>
      <c r="D25" s="201" t="s">
        <v>68</v>
      </c>
      <c r="E25" s="186" t="s">
        <v>68</v>
      </c>
      <c r="F25" s="202"/>
      <c r="G25" s="202"/>
      <c r="H25" s="202"/>
      <c r="I25" s="202"/>
      <c r="J25" s="202"/>
      <c r="K25" s="202"/>
      <c r="L25" s="202"/>
      <c r="M25" s="202"/>
      <c r="N25" s="384"/>
      <c r="O25" s="384"/>
    </row>
    <row r="26" spans="1:15" ht="35.1" customHeight="1" x14ac:dyDescent="0.25">
      <c r="A26" s="208" t="s">
        <v>85</v>
      </c>
      <c r="B26" s="201" t="s">
        <v>65</v>
      </c>
      <c r="C26" s="201" t="s">
        <v>65</v>
      </c>
      <c r="D26" s="201" t="s">
        <v>65</v>
      </c>
      <c r="E26" s="186" t="s">
        <v>63</v>
      </c>
      <c r="F26" s="202"/>
      <c r="G26" s="202"/>
      <c r="H26" s="202"/>
      <c r="I26" s="202"/>
      <c r="J26" s="202"/>
      <c r="K26" s="202"/>
      <c r="L26" s="202"/>
      <c r="M26" s="202"/>
      <c r="N26" s="384"/>
      <c r="O26" s="384"/>
    </row>
    <row r="27" spans="1:15" ht="35.1" customHeight="1" x14ac:dyDescent="0.25">
      <c r="A27" s="208" t="s">
        <v>38</v>
      </c>
      <c r="B27" s="203" t="s">
        <v>63</v>
      </c>
      <c r="C27" s="203" t="s">
        <v>63</v>
      </c>
      <c r="D27" s="203" t="s">
        <v>63</v>
      </c>
      <c r="E27" s="387" t="s">
        <v>364</v>
      </c>
      <c r="F27" s="186" t="s">
        <v>68</v>
      </c>
      <c r="G27" s="186" t="s">
        <v>21</v>
      </c>
      <c r="H27" s="186"/>
      <c r="I27" s="186"/>
      <c r="J27" s="186"/>
      <c r="K27" s="186"/>
      <c r="L27" s="186"/>
      <c r="M27" s="186"/>
      <c r="N27" s="384"/>
      <c r="O27" s="384"/>
    </row>
    <row r="28" spans="1:15" ht="35.1" customHeight="1" x14ac:dyDescent="0.25">
      <c r="A28" s="208" t="s">
        <v>86</v>
      </c>
      <c r="B28" s="203" t="s">
        <v>63</v>
      </c>
      <c r="C28" s="203" t="s">
        <v>63</v>
      </c>
      <c r="D28" s="201" t="s">
        <v>65</v>
      </c>
      <c r="E28" s="186" t="s">
        <v>65</v>
      </c>
      <c r="F28" s="186"/>
      <c r="G28" s="186"/>
      <c r="H28" s="186"/>
      <c r="I28" s="186"/>
      <c r="J28" s="186"/>
      <c r="K28" s="186"/>
      <c r="L28" s="186"/>
      <c r="M28" s="186"/>
      <c r="N28" s="384"/>
      <c r="O28" s="384"/>
    </row>
    <row r="29" spans="1:15" ht="35.1" customHeight="1" x14ac:dyDescent="0.35">
      <c r="A29" s="207" t="s">
        <v>87</v>
      </c>
      <c r="B29" s="203" t="s">
        <v>63</v>
      </c>
      <c r="C29" s="203" t="s">
        <v>63</v>
      </c>
      <c r="D29" s="203" t="s">
        <v>63</v>
      </c>
      <c r="E29" s="203" t="s">
        <v>63</v>
      </c>
      <c r="F29" s="205"/>
      <c r="G29" s="205"/>
      <c r="H29" s="205"/>
      <c r="I29" s="205"/>
      <c r="J29" s="205"/>
      <c r="K29" s="205"/>
      <c r="L29" s="205"/>
      <c r="M29" s="205"/>
      <c r="N29" s="384"/>
      <c r="O29" s="384"/>
    </row>
    <row r="30" spans="1:15" ht="47.25" customHeight="1" x14ac:dyDescent="0.35">
      <c r="A30" s="207" t="s">
        <v>88</v>
      </c>
      <c r="B30" s="203" t="s">
        <v>63</v>
      </c>
      <c r="C30" s="203" t="s">
        <v>63</v>
      </c>
      <c r="D30" s="203" t="s">
        <v>63</v>
      </c>
      <c r="E30" s="203" t="s">
        <v>63</v>
      </c>
      <c r="F30" s="205"/>
      <c r="G30" s="205"/>
      <c r="H30" s="205"/>
      <c r="I30" s="205"/>
      <c r="J30" s="205"/>
      <c r="K30" s="205"/>
      <c r="L30" s="205"/>
      <c r="M30" s="205"/>
      <c r="N30" s="384"/>
      <c r="O30" s="384"/>
    </row>
    <row r="31" spans="1:15" ht="48.75" customHeight="1" x14ac:dyDescent="0.35">
      <c r="A31" s="411" t="s">
        <v>428</v>
      </c>
      <c r="B31" s="203" t="s">
        <v>63</v>
      </c>
      <c r="C31" s="203" t="s">
        <v>63</v>
      </c>
      <c r="D31" s="203" t="s">
        <v>63</v>
      </c>
      <c r="E31" s="203" t="s">
        <v>63</v>
      </c>
      <c r="F31" s="205"/>
      <c r="G31" s="205"/>
      <c r="H31" s="205"/>
      <c r="I31" s="205"/>
      <c r="J31" s="205"/>
      <c r="K31" s="205"/>
      <c r="L31" s="205"/>
      <c r="M31" s="205"/>
      <c r="N31" s="384"/>
      <c r="O31" s="384"/>
    </row>
    <row r="32" spans="1:15" ht="37.5" customHeight="1" x14ac:dyDescent="0.35">
      <c r="A32" s="411" t="s">
        <v>516</v>
      </c>
      <c r="B32" s="205"/>
      <c r="C32" s="186"/>
      <c r="D32" s="205"/>
      <c r="E32" s="203" t="s">
        <v>63</v>
      </c>
      <c r="F32" s="387" t="s">
        <v>364</v>
      </c>
      <c r="G32" s="186" t="s">
        <v>21</v>
      </c>
      <c r="H32" s="205"/>
      <c r="I32" s="205"/>
      <c r="J32" s="205"/>
      <c r="K32" s="205"/>
      <c r="L32" s="205"/>
      <c r="M32" s="205"/>
      <c r="N32" s="384"/>
      <c r="O32" s="384"/>
    </row>
    <row r="33" spans="2:15" ht="18.75" x14ac:dyDescent="0.35">
      <c r="B33" s="205"/>
      <c r="C33" s="186"/>
      <c r="D33" s="205"/>
      <c r="E33" s="205"/>
      <c r="F33" s="205"/>
      <c r="G33" s="205"/>
      <c r="H33" s="205"/>
      <c r="I33" s="205"/>
      <c r="J33" s="205"/>
      <c r="K33" s="205"/>
      <c r="L33" s="205"/>
      <c r="M33" s="205"/>
    </row>
    <row r="34" spans="2:15" ht="18.75" x14ac:dyDescent="0.35">
      <c r="B34" s="205"/>
      <c r="C34" s="186"/>
      <c r="D34" s="205"/>
      <c r="E34" s="205"/>
      <c r="F34" s="205"/>
      <c r="G34" s="205"/>
      <c r="H34" s="205"/>
      <c r="I34" s="205"/>
      <c r="J34" s="205"/>
      <c r="K34" s="205"/>
      <c r="L34" s="205"/>
      <c r="M34" s="205"/>
      <c r="N34" s="384"/>
      <c r="O34" s="384"/>
    </row>
    <row r="35" spans="2:15" ht="18.75" x14ac:dyDescent="0.35">
      <c r="B35" s="205"/>
      <c r="C35" s="186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384"/>
      <c r="O35" s="384"/>
    </row>
  </sheetData>
  <autoFilter ref="A2:M31" xr:uid="{731246C9-F260-4FF7-B249-FF01940652B0}"/>
  <conditionalFormatting sqref="B3:L5 B6:D6 F6:L6 B7:L13 B14:E14 H14:L14 B15:L19 B20:C20 E20:L20 B21:L26 B27:D27 F27:L27 B28:L31 B32:E32 G32:L32 B33:L72">
    <cfRule type="cellIs" dxfId="7" priority="1" operator="equal">
      <formula>$Q$5</formula>
    </cfRule>
    <cfRule type="cellIs" dxfId="6" priority="21" operator="equal">
      <formula>$Q$8</formula>
    </cfRule>
    <cfRule type="cellIs" dxfId="5" priority="22" operator="equal">
      <formula>$Q$6</formula>
    </cfRule>
    <cfRule type="cellIs" dxfId="4" priority="23" operator="equal">
      <formula>$Q$4</formula>
    </cfRule>
    <cfRule type="cellIs" dxfId="3" priority="24" operator="equal">
      <formula>$Q$10</formula>
    </cfRule>
    <cfRule type="cellIs" dxfId="2" priority="25" operator="equal">
      <formula>$Q$9</formula>
    </cfRule>
    <cfRule type="cellIs" dxfId="1" priority="26" operator="equal">
      <formula>$Q$7</formula>
    </cfRule>
    <cfRule type="cellIs" dxfId="0" priority="27" operator="equal">
      <formula>$Q$11</formula>
    </cfRule>
  </conditionalFormatting>
  <dataValidations count="2">
    <dataValidation type="list" allowBlank="1" showInputMessage="1" showErrorMessage="1" sqref="Q3:Q5 E32:G32 D3:E18 B3:B31 D20:E31 C3:C35 F3:M28" xr:uid="{C823BBED-9494-46AE-A190-9C38FB662FEE}">
      <formula1>$Q$3:$Q$11</formula1>
    </dataValidation>
    <dataValidation type="list" allowBlank="1" showDropDown="1" showInputMessage="1" showErrorMessage="1" sqref="D19:E19" xr:uid="{E7D2C54C-81F8-41BB-A35D-E861717E3635}">
      <formula1>$Q$3:$Q$11</formula1>
    </dataValidation>
  </dataValidations>
  <hyperlinks>
    <hyperlink ref="A11" r:id="rId1" display="Pedido de cartão de crédito" xr:uid="{4753A19B-3B55-4839-B05E-837B34AD47E0}"/>
    <hyperlink ref="A12" r:id="rId2" xr:uid="{E7EC3BA1-1769-4599-B00A-2A0EC2203B08}"/>
  </hyperlinks>
  <pageMargins left="0.7" right="0.7" top="0.75" bottom="0.75" header="0.3" footer="0.3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37AE4-311C-4521-9C4B-8D667AC7944A}">
  <sheetPr codeName="Sheet5"/>
  <dimension ref="B1:H66"/>
  <sheetViews>
    <sheetView zoomScale="71" zoomScaleNormal="100" workbookViewId="0">
      <selection activeCell="C33" sqref="C33"/>
    </sheetView>
  </sheetViews>
  <sheetFormatPr defaultColWidth="8.5703125" defaultRowHeight="18" x14ac:dyDescent="0.35"/>
  <cols>
    <col min="1" max="1" width="3.140625" style="157" customWidth="1"/>
    <col min="2" max="2" width="15.140625" style="419" customWidth="1"/>
    <col min="3" max="3" width="113.42578125" style="157" customWidth="1"/>
    <col min="4" max="4" width="25.5703125" style="419" customWidth="1"/>
    <col min="5" max="5" width="14.5703125" style="419" customWidth="1"/>
    <col min="6" max="6" width="8.5703125" style="157"/>
    <col min="7" max="7" width="16.5703125" style="157" customWidth="1"/>
    <col min="8" max="16384" width="8.5703125" style="157"/>
  </cols>
  <sheetData>
    <row r="1" spans="2:5" ht="18.75" thickBot="1" x14ac:dyDescent="0.4"/>
    <row r="2" spans="2:5" ht="28.5" thickBot="1" x14ac:dyDescent="0.4">
      <c r="B2" s="456" t="s">
        <v>502</v>
      </c>
      <c r="C2" s="457"/>
      <c r="D2" s="457"/>
      <c r="E2" s="458"/>
    </row>
    <row r="3" spans="2:5" s="424" customFormat="1" ht="15" x14ac:dyDescent="0.3">
      <c r="B3" s="422" t="s">
        <v>400</v>
      </c>
      <c r="C3" s="423" t="s">
        <v>438</v>
      </c>
      <c r="D3" s="423" t="s">
        <v>90</v>
      </c>
      <c r="E3" s="423" t="s">
        <v>93</v>
      </c>
    </row>
    <row r="4" spans="2:5" x14ac:dyDescent="0.35">
      <c r="B4" s="435">
        <v>10</v>
      </c>
      <c r="C4" s="436" t="s">
        <v>459</v>
      </c>
      <c r="D4" s="440" t="s">
        <v>476</v>
      </c>
      <c r="E4" s="421"/>
    </row>
    <row r="5" spans="2:5" x14ac:dyDescent="0.35">
      <c r="B5" s="435">
        <v>20</v>
      </c>
      <c r="C5" s="436" t="s">
        <v>497</v>
      </c>
      <c r="D5" s="440" t="s">
        <v>476</v>
      </c>
      <c r="E5" s="421"/>
    </row>
    <row r="6" spans="2:5" x14ac:dyDescent="0.35">
      <c r="B6" s="429">
        <v>30</v>
      </c>
      <c r="C6" s="430" t="s">
        <v>460</v>
      </c>
      <c r="D6" s="441" t="s">
        <v>476</v>
      </c>
      <c r="E6" s="421"/>
    </row>
    <row r="7" spans="2:5" x14ac:dyDescent="0.35">
      <c r="B7" s="429">
        <v>40</v>
      </c>
      <c r="C7" s="430" t="s">
        <v>461</v>
      </c>
      <c r="D7" s="441" t="s">
        <v>476</v>
      </c>
      <c r="E7" s="421"/>
    </row>
    <row r="8" spans="2:5" x14ac:dyDescent="0.35">
      <c r="B8" s="421">
        <v>50</v>
      </c>
      <c r="C8" s="420" t="s">
        <v>462</v>
      </c>
      <c r="D8" s="427" t="s">
        <v>476</v>
      </c>
      <c r="E8" s="421"/>
    </row>
    <row r="9" spans="2:5" x14ac:dyDescent="0.35">
      <c r="B9" s="429">
        <v>60</v>
      </c>
      <c r="C9" s="430" t="s">
        <v>463</v>
      </c>
      <c r="D9" s="441" t="s">
        <v>476</v>
      </c>
      <c r="E9" s="421"/>
    </row>
    <row r="10" spans="2:5" x14ac:dyDescent="0.35">
      <c r="B10" s="421">
        <v>70</v>
      </c>
      <c r="C10" s="420" t="s">
        <v>464</v>
      </c>
      <c r="D10" s="427" t="s">
        <v>476</v>
      </c>
      <c r="E10" s="421"/>
    </row>
    <row r="11" spans="2:5" x14ac:dyDescent="0.35">
      <c r="B11" s="421">
        <v>80</v>
      </c>
      <c r="C11" s="420" t="s">
        <v>465</v>
      </c>
      <c r="D11" s="427" t="s">
        <v>476</v>
      </c>
      <c r="E11" s="421"/>
    </row>
    <row r="12" spans="2:5" x14ac:dyDescent="0.35">
      <c r="B12" s="429">
        <v>90</v>
      </c>
      <c r="C12" s="430" t="s">
        <v>466</v>
      </c>
      <c r="D12" s="441" t="s">
        <v>476</v>
      </c>
      <c r="E12" s="421"/>
    </row>
    <row r="13" spans="2:5" x14ac:dyDescent="0.35">
      <c r="B13" s="421">
        <v>100</v>
      </c>
      <c r="C13" s="420" t="s">
        <v>467</v>
      </c>
      <c r="D13" s="427" t="s">
        <v>476</v>
      </c>
      <c r="E13" s="421"/>
    </row>
    <row r="14" spans="2:5" x14ac:dyDescent="0.35">
      <c r="B14" s="421">
        <v>110</v>
      </c>
      <c r="C14" s="420" t="s">
        <v>468</v>
      </c>
      <c r="D14" s="427" t="s">
        <v>476</v>
      </c>
      <c r="E14" s="421"/>
    </row>
    <row r="15" spans="2:5" x14ac:dyDescent="0.35">
      <c r="B15" s="421">
        <v>120</v>
      </c>
      <c r="C15" s="420" t="s">
        <v>469</v>
      </c>
      <c r="D15" s="427" t="s">
        <v>476</v>
      </c>
      <c r="E15" s="421"/>
    </row>
    <row r="16" spans="2:5" x14ac:dyDescent="0.35">
      <c r="B16" s="421">
        <v>130</v>
      </c>
      <c r="C16" s="420" t="s">
        <v>470</v>
      </c>
      <c r="D16" s="427" t="s">
        <v>476</v>
      </c>
      <c r="E16" s="421"/>
    </row>
    <row r="17" spans="2:7" x14ac:dyDescent="0.35">
      <c r="B17" s="421">
        <v>140</v>
      </c>
      <c r="C17" s="420" t="s">
        <v>471</v>
      </c>
      <c r="D17" s="427" t="s">
        <v>476</v>
      </c>
      <c r="E17" s="421"/>
    </row>
    <row r="18" spans="2:7" x14ac:dyDescent="0.35">
      <c r="B18" s="421">
        <v>150</v>
      </c>
      <c r="C18" s="420" t="s">
        <v>472</v>
      </c>
      <c r="D18" s="427" t="s">
        <v>476</v>
      </c>
      <c r="E18" s="421"/>
    </row>
    <row r="19" spans="2:7" x14ac:dyDescent="0.35">
      <c r="B19" s="421">
        <v>160</v>
      </c>
      <c r="C19" s="420" t="s">
        <v>473</v>
      </c>
      <c r="D19" s="427" t="s">
        <v>476</v>
      </c>
      <c r="E19" s="421"/>
    </row>
    <row r="20" spans="2:7" x14ac:dyDescent="0.35">
      <c r="B20" s="421">
        <v>170</v>
      </c>
      <c r="C20" s="420" t="s">
        <v>492</v>
      </c>
      <c r="D20" s="427" t="s">
        <v>476</v>
      </c>
      <c r="E20" s="421"/>
    </row>
    <row r="21" spans="2:7" x14ac:dyDescent="0.35">
      <c r="B21" s="421">
        <v>180</v>
      </c>
      <c r="C21" s="420" t="s">
        <v>474</v>
      </c>
      <c r="D21" s="427" t="s">
        <v>476</v>
      </c>
      <c r="E21" s="421"/>
    </row>
    <row r="22" spans="2:7" ht="36" x14ac:dyDescent="0.35">
      <c r="B22" s="429">
        <v>10</v>
      </c>
      <c r="C22" s="430" t="s">
        <v>453</v>
      </c>
      <c r="D22" s="431" t="s">
        <v>478</v>
      </c>
      <c r="E22" s="421"/>
    </row>
    <row r="23" spans="2:7" ht="36" x14ac:dyDescent="0.35">
      <c r="B23" s="429">
        <v>20</v>
      </c>
      <c r="C23" s="430" t="s">
        <v>454</v>
      </c>
      <c r="D23" s="431" t="s">
        <v>478</v>
      </c>
      <c r="E23" s="421"/>
      <c r="G23" s="157" t="s">
        <v>503</v>
      </c>
    </row>
    <row r="24" spans="2:7" x14ac:dyDescent="0.35">
      <c r="B24" s="432">
        <v>30</v>
      </c>
      <c r="C24" s="433" t="s">
        <v>439</v>
      </c>
      <c r="D24" s="434" t="s">
        <v>478</v>
      </c>
      <c r="E24" s="421"/>
      <c r="G24" s="157" t="s">
        <v>504</v>
      </c>
    </row>
    <row r="25" spans="2:7" x14ac:dyDescent="0.35">
      <c r="B25" s="429">
        <v>40</v>
      </c>
      <c r="C25" s="430" t="s">
        <v>494</v>
      </c>
      <c r="D25" s="431" t="s">
        <v>478</v>
      </c>
      <c r="E25" s="421"/>
      <c r="G25" s="157" t="s">
        <v>505</v>
      </c>
    </row>
    <row r="26" spans="2:7" x14ac:dyDescent="0.35">
      <c r="B26" s="421">
        <v>50</v>
      </c>
      <c r="C26" s="420" t="s">
        <v>449</v>
      </c>
      <c r="D26" s="425" t="s">
        <v>478</v>
      </c>
      <c r="E26" s="421"/>
    </row>
    <row r="27" spans="2:7" x14ac:dyDescent="0.35">
      <c r="B27" s="435">
        <v>60</v>
      </c>
      <c r="C27" s="436" t="s">
        <v>451</v>
      </c>
      <c r="D27" s="437" t="s">
        <v>478</v>
      </c>
      <c r="E27" s="421"/>
    </row>
    <row r="28" spans="2:7" x14ac:dyDescent="0.35">
      <c r="B28" s="429">
        <v>70</v>
      </c>
      <c r="C28" s="430" t="s">
        <v>450</v>
      </c>
      <c r="D28" s="431" t="s">
        <v>478</v>
      </c>
      <c r="E28" s="421"/>
      <c r="G28" s="157" t="s">
        <v>506</v>
      </c>
    </row>
    <row r="29" spans="2:7" x14ac:dyDescent="0.35">
      <c r="B29" s="421">
        <v>80</v>
      </c>
      <c r="C29" s="420" t="s">
        <v>452</v>
      </c>
      <c r="D29" s="425" t="s">
        <v>478</v>
      </c>
      <c r="E29" s="421"/>
    </row>
    <row r="30" spans="2:7" x14ac:dyDescent="0.35">
      <c r="B30" s="432">
        <v>90</v>
      </c>
      <c r="C30" s="433" t="s">
        <v>455</v>
      </c>
      <c r="D30" s="434" t="s">
        <v>478</v>
      </c>
      <c r="E30" s="421"/>
      <c r="G30" s="157" t="s">
        <v>507</v>
      </c>
    </row>
    <row r="31" spans="2:7" ht="36" x14ac:dyDescent="0.35">
      <c r="B31" s="429">
        <v>100</v>
      </c>
      <c r="C31" s="430" t="s">
        <v>456</v>
      </c>
      <c r="D31" s="431" t="s">
        <v>478</v>
      </c>
      <c r="E31" s="421"/>
      <c r="G31" s="157" t="s">
        <v>507</v>
      </c>
    </row>
    <row r="32" spans="2:7" x14ac:dyDescent="0.35">
      <c r="B32" s="435">
        <v>110</v>
      </c>
      <c r="C32" s="436" t="s">
        <v>457</v>
      </c>
      <c r="D32" s="437" t="s">
        <v>478</v>
      </c>
      <c r="E32" s="421"/>
      <c r="G32" s="157" t="s">
        <v>507</v>
      </c>
    </row>
    <row r="33" spans="2:8" x14ac:dyDescent="0.35">
      <c r="B33" s="435">
        <v>120</v>
      </c>
      <c r="C33" s="436" t="s">
        <v>458</v>
      </c>
      <c r="D33" s="437" t="s">
        <v>478</v>
      </c>
      <c r="E33" s="421"/>
      <c r="G33" s="157" t="s">
        <v>507</v>
      </c>
    </row>
    <row r="34" spans="2:8" x14ac:dyDescent="0.35">
      <c r="B34" s="432">
        <v>130</v>
      </c>
      <c r="C34" s="433" t="s">
        <v>487</v>
      </c>
      <c r="D34" s="434" t="s">
        <v>478</v>
      </c>
      <c r="E34" s="421"/>
    </row>
    <row r="35" spans="2:8" x14ac:dyDescent="0.35">
      <c r="B35" s="435">
        <v>10</v>
      </c>
      <c r="C35" s="436" t="s">
        <v>479</v>
      </c>
      <c r="D35" s="442" t="s">
        <v>477</v>
      </c>
      <c r="E35" s="421"/>
    </row>
    <row r="36" spans="2:8" x14ac:dyDescent="0.35">
      <c r="B36" s="429">
        <v>20</v>
      </c>
      <c r="C36" s="430" t="s">
        <v>509</v>
      </c>
      <c r="D36" s="443" t="s">
        <v>477</v>
      </c>
      <c r="E36" s="421"/>
      <c r="G36" s="157" t="s">
        <v>508</v>
      </c>
    </row>
    <row r="37" spans="2:8" x14ac:dyDescent="0.35">
      <c r="B37" s="435">
        <v>30</v>
      </c>
      <c r="C37" s="436" t="s">
        <v>480</v>
      </c>
      <c r="D37" s="442" t="s">
        <v>477</v>
      </c>
      <c r="E37" s="421"/>
    </row>
    <row r="38" spans="2:8" x14ac:dyDescent="0.35">
      <c r="B38" s="421">
        <v>40</v>
      </c>
      <c r="C38" s="420" t="s">
        <v>481</v>
      </c>
      <c r="D38" s="428" t="s">
        <v>477</v>
      </c>
      <c r="E38" s="421"/>
    </row>
    <row r="39" spans="2:8" x14ac:dyDescent="0.35">
      <c r="B39" s="421">
        <v>50</v>
      </c>
      <c r="C39" s="420" t="s">
        <v>491</v>
      </c>
      <c r="D39" s="428" t="s">
        <v>477</v>
      </c>
      <c r="E39" s="421"/>
    </row>
    <row r="40" spans="2:8" x14ac:dyDescent="0.35">
      <c r="B40" s="429">
        <v>60</v>
      </c>
      <c r="C40" s="430" t="s">
        <v>482</v>
      </c>
      <c r="D40" s="443" t="s">
        <v>477</v>
      </c>
      <c r="E40" s="421"/>
    </row>
    <row r="41" spans="2:8" x14ac:dyDescent="0.35">
      <c r="B41" s="429">
        <v>70</v>
      </c>
      <c r="C41" s="430" t="s">
        <v>483</v>
      </c>
      <c r="D41" s="443" t="s">
        <v>477</v>
      </c>
      <c r="E41" s="421"/>
      <c r="G41" s="157" t="s">
        <v>510</v>
      </c>
      <c r="H41" s="157" t="s">
        <v>511</v>
      </c>
    </row>
    <row r="42" spans="2:8" x14ac:dyDescent="0.35">
      <c r="B42" s="421">
        <v>80</v>
      </c>
      <c r="C42" s="420" t="s">
        <v>512</v>
      </c>
      <c r="D42" s="428" t="s">
        <v>477</v>
      </c>
      <c r="E42" s="421"/>
    </row>
    <row r="43" spans="2:8" x14ac:dyDescent="0.35">
      <c r="B43" s="432">
        <v>90</v>
      </c>
      <c r="C43" s="433" t="s">
        <v>499</v>
      </c>
      <c r="D43" s="444" t="s">
        <v>477</v>
      </c>
      <c r="E43" s="421"/>
    </row>
    <row r="44" spans="2:8" x14ac:dyDescent="0.35">
      <c r="B44" s="421">
        <v>100</v>
      </c>
      <c r="C44" s="420" t="s">
        <v>484</v>
      </c>
      <c r="D44" s="428" t="s">
        <v>477</v>
      </c>
      <c r="E44" s="421"/>
    </row>
    <row r="45" spans="2:8" x14ac:dyDescent="0.35">
      <c r="B45" s="429">
        <v>120</v>
      </c>
      <c r="C45" s="430" t="s">
        <v>485</v>
      </c>
      <c r="D45" s="443" t="s">
        <v>477</v>
      </c>
      <c r="E45" s="421"/>
    </row>
    <row r="46" spans="2:8" x14ac:dyDescent="0.35">
      <c r="B46" s="421">
        <v>130</v>
      </c>
      <c r="C46" s="420" t="s">
        <v>500</v>
      </c>
      <c r="D46" s="428" t="s">
        <v>477</v>
      </c>
      <c r="E46" s="421"/>
    </row>
    <row r="47" spans="2:8" x14ac:dyDescent="0.35">
      <c r="B47" s="421">
        <v>140</v>
      </c>
      <c r="C47" s="420" t="s">
        <v>486</v>
      </c>
      <c r="D47" s="428" t="s">
        <v>477</v>
      </c>
      <c r="E47" s="421"/>
    </row>
    <row r="48" spans="2:8" x14ac:dyDescent="0.35">
      <c r="B48" s="435">
        <v>150</v>
      </c>
      <c r="C48" s="436" t="s">
        <v>490</v>
      </c>
      <c r="D48" s="442" t="s">
        <v>477</v>
      </c>
      <c r="E48" s="421"/>
    </row>
    <row r="49" spans="2:7" x14ac:dyDescent="0.35">
      <c r="B49" s="421">
        <v>160</v>
      </c>
      <c r="C49" s="420" t="s">
        <v>488</v>
      </c>
      <c r="D49" s="428" t="s">
        <v>477</v>
      </c>
      <c r="E49" s="421"/>
    </row>
    <row r="50" spans="2:7" x14ac:dyDescent="0.35">
      <c r="B50" s="429">
        <v>170</v>
      </c>
      <c r="C50" s="430" t="s">
        <v>498</v>
      </c>
      <c r="D50" s="443" t="s">
        <v>477</v>
      </c>
      <c r="E50" s="421"/>
      <c r="G50" s="157" t="s">
        <v>513</v>
      </c>
    </row>
    <row r="51" spans="2:7" x14ac:dyDescent="0.35">
      <c r="B51" s="432">
        <v>180</v>
      </c>
      <c r="C51" s="433" t="s">
        <v>501</v>
      </c>
      <c r="D51" s="444" t="s">
        <v>477</v>
      </c>
      <c r="E51" s="421"/>
    </row>
    <row r="52" spans="2:7" x14ac:dyDescent="0.35">
      <c r="B52" s="435">
        <v>10</v>
      </c>
      <c r="C52" s="436" t="s">
        <v>444</v>
      </c>
      <c r="D52" s="438" t="s">
        <v>475</v>
      </c>
      <c r="E52" s="421"/>
    </row>
    <row r="53" spans="2:7" x14ac:dyDescent="0.35">
      <c r="B53" s="435">
        <v>20</v>
      </c>
      <c r="C53" s="436" t="s">
        <v>445</v>
      </c>
      <c r="D53" s="438" t="s">
        <v>475</v>
      </c>
      <c r="E53" s="421"/>
    </row>
    <row r="54" spans="2:7" x14ac:dyDescent="0.35">
      <c r="B54" s="429">
        <v>30</v>
      </c>
      <c r="C54" s="430" t="s">
        <v>496</v>
      </c>
      <c r="D54" s="439" t="s">
        <v>475</v>
      </c>
      <c r="E54" s="421"/>
    </row>
    <row r="55" spans="2:7" x14ac:dyDescent="0.35">
      <c r="B55" s="435">
        <v>40</v>
      </c>
      <c r="C55" s="436" t="s">
        <v>64</v>
      </c>
      <c r="D55" s="438" t="s">
        <v>475</v>
      </c>
      <c r="E55" s="421"/>
    </row>
    <row r="56" spans="2:7" x14ac:dyDescent="0.35">
      <c r="B56" s="429">
        <v>50</v>
      </c>
      <c r="C56" s="430" t="s">
        <v>446</v>
      </c>
      <c r="D56" s="439" t="s">
        <v>475</v>
      </c>
      <c r="E56" s="421"/>
    </row>
    <row r="57" spans="2:7" x14ac:dyDescent="0.35">
      <c r="B57" s="421">
        <v>60</v>
      </c>
      <c r="C57" s="420" t="s">
        <v>447</v>
      </c>
      <c r="D57" s="426" t="s">
        <v>475</v>
      </c>
      <c r="E57" s="421"/>
    </row>
    <row r="58" spans="2:7" x14ac:dyDescent="0.35">
      <c r="B58" s="421">
        <v>70</v>
      </c>
      <c r="C58" s="420" t="s">
        <v>440</v>
      </c>
      <c r="D58" s="426" t="s">
        <v>475</v>
      </c>
      <c r="E58" s="421"/>
    </row>
    <row r="59" spans="2:7" x14ac:dyDescent="0.35">
      <c r="B59" s="421">
        <v>80</v>
      </c>
      <c r="C59" s="420" t="s">
        <v>448</v>
      </c>
      <c r="D59" s="426" t="s">
        <v>475</v>
      </c>
      <c r="E59" s="421"/>
    </row>
    <row r="60" spans="2:7" x14ac:dyDescent="0.35">
      <c r="B60" s="421">
        <v>90</v>
      </c>
      <c r="C60" s="420" t="s">
        <v>441</v>
      </c>
      <c r="D60" s="426" t="s">
        <v>475</v>
      </c>
      <c r="E60" s="421"/>
    </row>
    <row r="61" spans="2:7" x14ac:dyDescent="0.35">
      <c r="B61" s="421">
        <v>100</v>
      </c>
      <c r="C61" s="420" t="s">
        <v>495</v>
      </c>
      <c r="D61" s="426" t="s">
        <v>475</v>
      </c>
      <c r="E61" s="421"/>
    </row>
    <row r="62" spans="2:7" x14ac:dyDescent="0.35">
      <c r="B62" s="421">
        <v>110</v>
      </c>
      <c r="C62" s="420" t="s">
        <v>442</v>
      </c>
      <c r="D62" s="426" t="s">
        <v>475</v>
      </c>
      <c r="E62" s="421"/>
    </row>
    <row r="63" spans="2:7" x14ac:dyDescent="0.35">
      <c r="B63" s="421">
        <v>120</v>
      </c>
      <c r="C63" s="420" t="s">
        <v>443</v>
      </c>
      <c r="D63" s="426" t="s">
        <v>475</v>
      </c>
      <c r="E63" s="421"/>
    </row>
    <row r="64" spans="2:7" x14ac:dyDescent="0.35">
      <c r="B64" s="421">
        <v>130</v>
      </c>
      <c r="C64" s="420" t="s">
        <v>193</v>
      </c>
      <c r="D64" s="426" t="s">
        <v>475</v>
      </c>
      <c r="E64" s="421"/>
    </row>
    <row r="65" spans="2:5" x14ac:dyDescent="0.35">
      <c r="B65" s="421">
        <v>140</v>
      </c>
      <c r="C65" s="420" t="s">
        <v>489</v>
      </c>
      <c r="D65" s="426" t="s">
        <v>475</v>
      </c>
      <c r="E65" s="421"/>
    </row>
    <row r="66" spans="2:5" x14ac:dyDescent="0.35">
      <c r="D66" s="418"/>
    </row>
  </sheetData>
  <autoFilter ref="B3:E65" xr:uid="{B7737AE4-311C-4521-9C4B-8D667AC7944A}"/>
  <sortState xmlns:xlrd2="http://schemas.microsoft.com/office/spreadsheetml/2017/richdata2" ref="B5:D21">
    <sortCondition ref="B5:B21"/>
  </sortState>
  <mergeCells count="1">
    <mergeCell ref="B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FC333-F8AE-4017-82D6-562CC59E242A}">
  <sheetPr codeName="Sheet6" filterMode="1"/>
  <dimension ref="A2:I50"/>
  <sheetViews>
    <sheetView tabSelected="1" topLeftCell="A2" zoomScale="90" zoomScaleNormal="90" workbookViewId="0">
      <pane ySplit="2" topLeftCell="A20" activePane="bottomLeft" state="frozen"/>
      <selection activeCell="A2" sqref="A2"/>
      <selection pane="bottomLeft" activeCell="A3" sqref="A3"/>
    </sheetView>
  </sheetViews>
  <sheetFormatPr defaultRowHeight="15" x14ac:dyDescent="0.25"/>
  <cols>
    <col min="1" max="1" width="10.5703125" style="46" bestFit="1" customWidth="1"/>
    <col min="2" max="2" width="5.85546875" style="46" customWidth="1"/>
    <col min="3" max="3" width="29.28515625" style="345" customWidth="1"/>
    <col min="4" max="4" width="96.5703125" style="345" customWidth="1"/>
    <col min="5" max="5" width="22.5703125" style="300" customWidth="1"/>
    <col min="6" max="6" width="11.42578125" style="300" bestFit="1" customWidth="1"/>
    <col min="7" max="7" width="13.42578125" style="370" customWidth="1"/>
    <col min="8" max="8" width="58.5703125" style="366" customWidth="1"/>
    <col min="9" max="9" width="45.5703125" style="360" customWidth="1"/>
  </cols>
  <sheetData>
    <row r="2" spans="1:9" x14ac:dyDescent="0.25">
      <c r="A2" s="327"/>
      <c r="B2" s="327" t="s">
        <v>89</v>
      </c>
      <c r="C2" s="338"/>
      <c r="D2" s="346"/>
      <c r="E2" s="309"/>
      <c r="F2" s="308"/>
      <c r="G2" s="369"/>
      <c r="H2" s="346"/>
      <c r="I2" s="346"/>
    </row>
    <row r="3" spans="1:9" ht="51.75" x14ac:dyDescent="0.25">
      <c r="A3" s="334" t="s">
        <v>90</v>
      </c>
      <c r="B3" s="328" t="s">
        <v>91</v>
      </c>
      <c r="C3" s="328" t="s">
        <v>46</v>
      </c>
      <c r="D3" s="328" t="s">
        <v>92</v>
      </c>
      <c r="E3" s="328" t="s">
        <v>93</v>
      </c>
      <c r="F3" s="328" t="s">
        <v>94</v>
      </c>
      <c r="G3" s="328" t="s">
        <v>95</v>
      </c>
      <c r="H3" s="328" t="s">
        <v>96</v>
      </c>
      <c r="I3" s="328" t="s">
        <v>97</v>
      </c>
    </row>
    <row r="4" spans="1:9" ht="27" x14ac:dyDescent="0.25">
      <c r="A4" s="301" t="s">
        <v>98</v>
      </c>
      <c r="B4" s="329">
        <v>1</v>
      </c>
      <c r="C4" s="339" t="s">
        <v>25</v>
      </c>
      <c r="D4" s="347" t="s">
        <v>99</v>
      </c>
      <c r="E4" s="326" t="str">
        <f>IF(COUNTIF('Em Curso'!$B:$B,B4)&gt;0,"Em Curso",IF(COUNTIF(Planeados!$B:$B,B4)&gt;0,"Planeados",IF(COUNTIF(Standby!$B:$B,B4)&gt;0,"Standby",IF(COUNTIF('API integration Lab'!$B:$B,B4)&gt;0,"API integration Lab",""))))</f>
        <v>Em Curso</v>
      </c>
      <c r="F4" s="367">
        <v>46107</v>
      </c>
      <c r="G4" s="368">
        <v>46107</v>
      </c>
      <c r="H4" s="347" t="s">
        <v>100</v>
      </c>
      <c r="I4" s="354"/>
    </row>
    <row r="5" spans="1:9" ht="54" hidden="1" x14ac:dyDescent="0.25">
      <c r="A5" s="335" t="s">
        <v>12</v>
      </c>
      <c r="B5" s="330">
        <v>2</v>
      </c>
      <c r="C5" s="340" t="s">
        <v>26</v>
      </c>
      <c r="D5" s="348" t="s">
        <v>101</v>
      </c>
      <c r="E5" s="326" t="str">
        <f>IF(COUNTIF('Em Curso'!$B:$B,B5)&gt;0,"Em Curso",IF(COUNTIF(Planeados!$B:$B,B5)&gt;0,"Planeados",IF(COUNTIF(Standby!$B:$B,B5)&gt;0,"Standby",IF(COUNTIF('API integration Lab'!$B:$B,B5)&gt;0,"API integration Lab",""))))</f>
        <v>Em Curso</v>
      </c>
      <c r="F5" s="310">
        <v>46351</v>
      </c>
      <c r="G5" s="311">
        <v>46351</v>
      </c>
      <c r="H5" s="350" t="s">
        <v>102</v>
      </c>
      <c r="I5" s="355" t="s">
        <v>103</v>
      </c>
    </row>
    <row r="6" spans="1:9" ht="40.5" hidden="1" x14ac:dyDescent="0.25">
      <c r="A6" s="335" t="s">
        <v>12</v>
      </c>
      <c r="B6" s="331">
        <v>3</v>
      </c>
      <c r="C6" s="340" t="s">
        <v>27</v>
      </c>
      <c r="D6" s="348" t="s">
        <v>104</v>
      </c>
      <c r="E6" s="326" t="str">
        <f>IF(COUNTIF('Em Curso'!$B:$B,B6)&gt;0,"Em Curso",IF(COUNTIF(Planeados!$B:$B,B6)&gt;0,"Planeados",IF(COUNTIF(Standby!$B:$B,B6)&gt;0,"Standby",IF(COUNTIF('API integration Lab'!$B:$B,B6)&gt;0,"API integration Lab",""))))</f>
        <v>Em Curso</v>
      </c>
      <c r="F6" s="312" t="s">
        <v>105</v>
      </c>
      <c r="G6" s="311">
        <v>46107</v>
      </c>
      <c r="H6" s="348" t="s">
        <v>106</v>
      </c>
      <c r="I6" s="355" t="s">
        <v>107</v>
      </c>
    </row>
    <row r="7" spans="1:9" ht="27" x14ac:dyDescent="0.25">
      <c r="A7" s="336" t="s">
        <v>98</v>
      </c>
      <c r="B7" s="330">
        <v>4</v>
      </c>
      <c r="C7" s="340" t="s">
        <v>28</v>
      </c>
      <c r="D7" s="348" t="s">
        <v>108</v>
      </c>
      <c r="E7" s="326" t="str">
        <f>IF(COUNTIF('Em Curso'!$B:$B,B7)&gt;0,"Em Curso",IF(COUNTIF(Planeados!$B:$B,B7)&gt;0,"Planeados",IF(COUNTIF(Standby!$B:$B,B7)&gt;0,"Standby",IF(COUNTIF('API integration Lab'!$B:$B,B7)&gt;0,"API integration Lab",""))))</f>
        <v>Em Curso</v>
      </c>
      <c r="F7" s="310"/>
      <c r="G7" s="311" t="s">
        <v>109</v>
      </c>
      <c r="H7" s="348" t="s">
        <v>110</v>
      </c>
      <c r="I7" s="355"/>
    </row>
    <row r="8" spans="1:9" ht="27" x14ac:dyDescent="0.25">
      <c r="A8" s="336" t="s">
        <v>98</v>
      </c>
      <c r="B8" s="330">
        <v>5</v>
      </c>
      <c r="C8" s="340" t="s">
        <v>30</v>
      </c>
      <c r="D8" s="348" t="s">
        <v>111</v>
      </c>
      <c r="E8" s="326" t="str">
        <f>IF(COUNTIF('Em Curso'!$B:$B,B8)&gt;0,"Em Curso",IF(COUNTIF(Planeados!$B:$B,B8)&gt;0,"Planeados",IF(COUNTIF(Standby!$B:$B,B8)&gt;0,"Standby",IF(COUNTIF('API integration Lab'!$B:$B,B8)&gt;0,"API integration Lab",""))))</f>
        <v>Em Curso</v>
      </c>
      <c r="F8" s="310">
        <v>46048</v>
      </c>
      <c r="G8" s="311">
        <v>46107</v>
      </c>
      <c r="H8" s="350" t="s">
        <v>112</v>
      </c>
      <c r="I8" s="355"/>
    </row>
    <row r="9" spans="1:9" ht="27" x14ac:dyDescent="0.25">
      <c r="A9" s="336" t="s">
        <v>98</v>
      </c>
      <c r="B9" s="330">
        <v>6</v>
      </c>
      <c r="C9" s="340" t="s">
        <v>31</v>
      </c>
      <c r="D9" s="348" t="s">
        <v>113</v>
      </c>
      <c r="E9" s="326" t="str">
        <f>IF(COUNTIF('Em Curso'!$B:$B,B9)&gt;0,"Em Curso",IF(COUNTIF(Planeados!$B:$B,B9)&gt;0,"Planeados",IF(COUNTIF(Standby!$B:$B,B9)&gt;0,"Standby",IF(COUNTIF('API integration Lab'!$B:$B,B9)&gt;0,"API integration Lab",""))))</f>
        <v>Em Curso</v>
      </c>
      <c r="F9" s="310"/>
      <c r="G9" s="311">
        <v>46107</v>
      </c>
      <c r="H9" s="361" t="s">
        <v>114</v>
      </c>
      <c r="I9" s="355"/>
    </row>
    <row r="10" spans="1:9" ht="27" hidden="1" x14ac:dyDescent="0.25">
      <c r="A10" s="335" t="s">
        <v>115</v>
      </c>
      <c r="B10" s="330">
        <v>7</v>
      </c>
      <c r="C10" s="340" t="s">
        <v>35</v>
      </c>
      <c r="D10" s="348" t="s">
        <v>116</v>
      </c>
      <c r="E10" s="326" t="str">
        <f>IF(COUNTIF('Em Curso'!$B:$B,B10)&gt;0,"Em Curso",IF(COUNTIF(Planeados!$B:$B,B10)&gt;0,"Planeados",IF(COUNTIF(Standby!$B:$B,B10)&gt;0,"Standby",IF(COUNTIF('API integration Lab'!$B:$B,B10)&gt;0,"API integration Lab",""))))</f>
        <v>Em Curso</v>
      </c>
      <c r="F10" s="310">
        <v>46107</v>
      </c>
      <c r="G10" s="313" t="s">
        <v>109</v>
      </c>
      <c r="H10" s="348" t="s">
        <v>117</v>
      </c>
      <c r="I10" s="355"/>
    </row>
    <row r="11" spans="1:9" ht="27" hidden="1" x14ac:dyDescent="0.25">
      <c r="A11" s="335" t="s">
        <v>118</v>
      </c>
      <c r="B11" s="330">
        <v>8</v>
      </c>
      <c r="C11" s="340" t="s">
        <v>36</v>
      </c>
      <c r="D11" s="348" t="s">
        <v>119</v>
      </c>
      <c r="E11" s="326" t="str">
        <f>IF(COUNTIF('Em Curso'!$B:$B,B11)&gt;0,"Em Curso",IF(COUNTIF(Planeados!$B:$B,B11)&gt;0,"Planeados",IF(COUNTIF(Standby!$B:$B,B11)&gt;0,"Standby",IF(COUNTIF('API integration Lab'!$B:$B,B11)&gt;0,"API integration Lab",""))))</f>
        <v>Em Curso</v>
      </c>
      <c r="F11" s="310">
        <v>46381</v>
      </c>
      <c r="G11" s="311">
        <v>46199</v>
      </c>
      <c r="H11" s="348" t="s">
        <v>120</v>
      </c>
      <c r="I11" s="355"/>
    </row>
    <row r="12" spans="1:9" ht="40.5" hidden="1" x14ac:dyDescent="0.25">
      <c r="A12" s="335" t="s">
        <v>12</v>
      </c>
      <c r="B12" s="330">
        <v>9</v>
      </c>
      <c r="C12" s="340" t="s">
        <v>121</v>
      </c>
      <c r="D12" s="348" t="s">
        <v>122</v>
      </c>
      <c r="E12" s="326" t="str">
        <f>IF(COUNTIF('Em Curso'!$B:$B,B12)&gt;0,"Em Curso",IF(COUNTIF(Planeados!$B:$B,B12)&gt;0,"Planeados",IF(COUNTIF(Standby!$B:$B,B12)&gt;0,"Standby",IF(COUNTIF('API integration Lab'!$B:$B,B12)&gt;0,"API integration Lab",""))))</f>
        <v>Em Curso</v>
      </c>
      <c r="F12" s="310">
        <v>46048</v>
      </c>
      <c r="G12" s="313" t="s">
        <v>123</v>
      </c>
      <c r="H12" s="361" t="s">
        <v>124</v>
      </c>
      <c r="I12" s="356" t="s">
        <v>125</v>
      </c>
    </row>
    <row r="13" spans="1:9" ht="27" hidden="1" x14ac:dyDescent="0.25">
      <c r="A13" s="335" t="s">
        <v>12</v>
      </c>
      <c r="B13" s="330">
        <v>10</v>
      </c>
      <c r="C13" s="340" t="s">
        <v>126</v>
      </c>
      <c r="D13" s="348" t="s">
        <v>127</v>
      </c>
      <c r="E13" s="326" t="str">
        <f>IF(COUNTIF('Em Curso'!$B:$B,B13)&gt;0,"Em Curso",IF(COUNTIF(Planeados!$B:$B,B13)&gt;0,"Planeados",IF(COUNTIF(Standby!$B:$B,B13)&gt;0,"Standby",IF(COUNTIF('API integration Lab'!$B:$B,B13)&gt;0,"API integration Lab",""))))</f>
        <v>Em Curso</v>
      </c>
      <c r="F13" s="310">
        <v>46048</v>
      </c>
      <c r="G13" s="313" t="s">
        <v>128</v>
      </c>
      <c r="H13" s="348" t="s">
        <v>129</v>
      </c>
      <c r="I13" s="355"/>
    </row>
    <row r="14" spans="1:9" ht="81" hidden="1" x14ac:dyDescent="0.25">
      <c r="A14" s="336" t="s">
        <v>12</v>
      </c>
      <c r="B14" s="332">
        <v>11</v>
      </c>
      <c r="C14" s="341" t="s">
        <v>32</v>
      </c>
      <c r="D14" s="349" t="s">
        <v>130</v>
      </c>
      <c r="E14" s="326" t="str">
        <f>IF(COUNTIF('Em Curso'!$B:$B,B14)&gt;0,"Em Curso",IF(COUNTIF(Planeados!$B:$B,B14)&gt;0,"Planeados",IF(COUNTIF(Standby!$B:$B,B14)&gt;0,"Standby",IF(COUNTIF('API integration Lab'!$B:$B,B14)&gt;0,"API integration Lab",""))))</f>
        <v>Em Curso</v>
      </c>
      <c r="F14" s="314">
        <v>46107</v>
      </c>
      <c r="G14" s="416">
        <v>46204</v>
      </c>
      <c r="H14" s="349" t="s">
        <v>132</v>
      </c>
      <c r="I14" s="355" t="s">
        <v>133</v>
      </c>
    </row>
    <row r="15" spans="1:9" ht="40.5" hidden="1" x14ac:dyDescent="0.25">
      <c r="A15" s="336" t="s">
        <v>12</v>
      </c>
      <c r="B15" s="330">
        <v>12</v>
      </c>
      <c r="C15" s="342" t="s">
        <v>134</v>
      </c>
      <c r="D15" s="350" t="s">
        <v>135</v>
      </c>
      <c r="E15" s="326" t="str">
        <f>IF(COUNTIF('Em Curso'!$B:$B,B15)&gt;0,"Em Curso",IF(COUNTIF(Planeados!$B:$B,B15)&gt;0,"Planeados",IF(COUNTIF(Standby!$B:$B,B15)&gt;0,"Standby",IF(COUNTIF('API integration Lab'!$B:$B,B15)&gt;0,"API integration Lab",""))))</f>
        <v>Em Curso</v>
      </c>
      <c r="F15" s="310">
        <v>46351</v>
      </c>
      <c r="G15" s="417">
        <v>45992</v>
      </c>
      <c r="H15" s="350" t="s">
        <v>437</v>
      </c>
      <c r="I15" s="355" t="s">
        <v>136</v>
      </c>
    </row>
    <row r="16" spans="1:9" ht="81" hidden="1" x14ac:dyDescent="0.25">
      <c r="A16" s="336" t="s">
        <v>12</v>
      </c>
      <c r="B16" s="330">
        <v>13</v>
      </c>
      <c r="C16" s="340" t="s">
        <v>137</v>
      </c>
      <c r="D16" s="348" t="s">
        <v>138</v>
      </c>
      <c r="E16" s="326" t="str">
        <f>IF(COUNTIF('Em Curso'!$B:$B,B16)&gt;0,"Em Curso",IF(COUNTIF(Planeados!$B:$B,B16)&gt;0,"Planeados",IF(COUNTIF(Standby!$B:$B,B16)&gt;0,"Standby",IF(COUNTIF('API integration Lab'!$B:$B,B16)&gt;0,"API integration Lab",""))))</f>
        <v>Em Curso</v>
      </c>
      <c r="F16" s="316">
        <v>46107</v>
      </c>
      <c r="G16" s="317" t="s">
        <v>109</v>
      </c>
      <c r="H16" s="348" t="s">
        <v>139</v>
      </c>
      <c r="I16" s="355"/>
    </row>
    <row r="17" spans="1:9" ht="81" hidden="1" x14ac:dyDescent="0.25">
      <c r="A17" s="336" t="s">
        <v>12</v>
      </c>
      <c r="B17" s="330">
        <v>14</v>
      </c>
      <c r="C17" s="340" t="s">
        <v>140</v>
      </c>
      <c r="D17" s="348" t="s">
        <v>141</v>
      </c>
      <c r="E17" s="326" t="str">
        <f>IF(COUNTIF('Em Curso'!$B:$B,B17)&gt;0,"Em Curso",IF(COUNTIF(Planeados!$B:$B,B17)&gt;0,"Planeados",IF(COUNTIF(Standby!$B:$B,B17)&gt;0,"Standby",IF(COUNTIF('API integration Lab'!$B:$B,B17)&gt;0,"API integration Lab",""))))</f>
        <v>Em Curso</v>
      </c>
      <c r="F17" s="316">
        <v>46107</v>
      </c>
      <c r="G17" s="317" t="s">
        <v>109</v>
      </c>
      <c r="H17" s="348" t="s">
        <v>142</v>
      </c>
      <c r="I17" s="355" t="s">
        <v>143</v>
      </c>
    </row>
    <row r="18" spans="1:9" ht="27" hidden="1" x14ac:dyDescent="0.25">
      <c r="A18" s="335" t="s">
        <v>12</v>
      </c>
      <c r="B18" s="331">
        <v>15</v>
      </c>
      <c r="C18" s="340" t="s">
        <v>144</v>
      </c>
      <c r="D18" s="337" t="s">
        <v>145</v>
      </c>
      <c r="E18" s="326" t="str">
        <f>IF(COUNTIF('Em Curso'!$B:$B,B18)&gt;0,"Em Curso",IF(COUNTIF(Planeados!$B:$B,B18)&gt;0,"Planeados",IF(COUNTIF(Standby!$B:$B,B18)&gt;0,"Standby",IF(COUNTIF('API integration Lab'!$B:$B,B18)&gt;0,"API integration Lab",""))))</f>
        <v>Planeados</v>
      </c>
      <c r="F18" s="312" t="s">
        <v>128</v>
      </c>
      <c r="G18" s="313" t="s">
        <v>128</v>
      </c>
      <c r="H18" s="348" t="s">
        <v>146</v>
      </c>
      <c r="I18" s="355"/>
    </row>
    <row r="19" spans="1:9" ht="40.5" hidden="1" x14ac:dyDescent="0.25">
      <c r="A19" s="335" t="s">
        <v>12</v>
      </c>
      <c r="B19" s="331">
        <v>16</v>
      </c>
      <c r="C19" s="340" t="s">
        <v>147</v>
      </c>
      <c r="D19" s="337" t="s">
        <v>145</v>
      </c>
      <c r="E19" s="326" t="str">
        <f>IF(COUNTIF('Em Curso'!$B:$B,B19)&gt;0,"Em Curso",IF(COUNTIF(Planeados!$B:$B,B19)&gt;0,"Planeados",IF(COUNTIF(Standby!$B:$B,B19)&gt;0,"Standby",IF(COUNTIF('API integration Lab'!$B:$B,B19)&gt;0,"API integration Lab",""))))</f>
        <v>Planeados</v>
      </c>
      <c r="F19" s="461" t="s">
        <v>131</v>
      </c>
      <c r="G19" s="459" t="s">
        <v>123</v>
      </c>
      <c r="H19" s="350" t="s">
        <v>148</v>
      </c>
      <c r="I19" s="355" t="s">
        <v>149</v>
      </c>
    </row>
    <row r="20" spans="1:9" ht="81" hidden="1" x14ac:dyDescent="0.25">
      <c r="A20" s="335" t="s">
        <v>12</v>
      </c>
      <c r="B20" s="331">
        <v>17</v>
      </c>
      <c r="C20" s="340" t="s">
        <v>150</v>
      </c>
      <c r="D20" s="337" t="s">
        <v>145</v>
      </c>
      <c r="E20" s="326" t="str">
        <f>IF(COUNTIF('Em Curso'!$B:$B,B20)&gt;0,"Em Curso",IF(COUNTIF(Planeados!$B:$B,B20)&gt;0,"Planeados",IF(COUNTIF(Standby!$B:$B,B20)&gt;0,"Standby",IF(COUNTIF('API integration Lab'!$B:$B,B20)&gt;0,"API integration Lab",""))))</f>
        <v>Planeados</v>
      </c>
      <c r="F20" s="462"/>
      <c r="G20" s="460"/>
      <c r="H20" s="337" t="s">
        <v>124</v>
      </c>
      <c r="I20" s="357" t="s">
        <v>151</v>
      </c>
    </row>
    <row r="21" spans="1:9" ht="32.25" hidden="1" customHeight="1" x14ac:dyDescent="0.25">
      <c r="A21" s="335" t="s">
        <v>118</v>
      </c>
      <c r="B21" s="331">
        <v>19</v>
      </c>
      <c r="C21" s="340" t="s">
        <v>152</v>
      </c>
      <c r="D21" s="348" t="s">
        <v>153</v>
      </c>
      <c r="E21" s="326" t="str">
        <f>IF(COUNTIF('Em Curso'!$B:$B,B21)&gt;0,"Em Curso",IF(COUNTIF(Planeados!$B:$B,B21)&gt;0,"Planeados",IF(COUNTIF(Standby!$B:$B,B21)&gt;0,"Standby",IF(COUNTIF('API integration Lab'!$B:$B,B21)&gt;0,"API integration Lab",""))))</f>
        <v>Planeados</v>
      </c>
      <c r="F21" s="310">
        <v>46199</v>
      </c>
      <c r="G21" s="313" t="s">
        <v>124</v>
      </c>
      <c r="H21" s="348" t="s">
        <v>154</v>
      </c>
      <c r="I21" s="354"/>
    </row>
    <row r="22" spans="1:9" ht="40.5" hidden="1" x14ac:dyDescent="0.25">
      <c r="A22" s="335" t="s">
        <v>12</v>
      </c>
      <c r="B22" s="331">
        <v>18</v>
      </c>
      <c r="C22" s="340" t="s">
        <v>155</v>
      </c>
      <c r="D22" s="351" t="s">
        <v>156</v>
      </c>
      <c r="E22" s="326" t="str">
        <f>IF(COUNTIF('Em Curso'!$B:$B,B22)&gt;0,"Em Curso",IF(COUNTIF(Planeados!$B:$B,B22)&gt;0,"Planeados",IF(COUNTIF(Standby!$B:$B,B22)&gt;0,"Standby",IF(COUNTIF('API integration Lab'!$B:$B,B22)&gt;0,"API integration Lab",""))))</f>
        <v>Planeados</v>
      </c>
      <c r="F22" s="312" t="s">
        <v>128</v>
      </c>
      <c r="G22" s="313" t="s">
        <v>128</v>
      </c>
      <c r="H22" s="348" t="s">
        <v>157</v>
      </c>
      <c r="I22" s="354"/>
    </row>
    <row r="23" spans="1:9" ht="27" hidden="1" x14ac:dyDescent="0.25">
      <c r="A23" s="335" t="s">
        <v>118</v>
      </c>
      <c r="B23" s="331">
        <v>20</v>
      </c>
      <c r="C23" s="340" t="s">
        <v>158</v>
      </c>
      <c r="D23" s="348" t="s">
        <v>159</v>
      </c>
      <c r="E23" s="326" t="str">
        <f>IF(COUNTIF('Em Curso'!$B:$B,B23)&gt;0,"Em Curso",IF(COUNTIF(Planeados!$B:$B,B23)&gt;0,"Planeados",IF(COUNTIF(Standby!$B:$B,B23)&gt;0,"Standby",IF(COUNTIF('API integration Lab'!$B:$B,B23)&gt;0,"API integration Lab",""))))</f>
        <v>Planeados</v>
      </c>
      <c r="F23" s="312" t="s">
        <v>123</v>
      </c>
      <c r="G23" s="313" t="s">
        <v>109</v>
      </c>
      <c r="H23" s="348" t="s">
        <v>160</v>
      </c>
      <c r="I23" s="354"/>
    </row>
    <row r="24" spans="1:9" ht="94.5" hidden="1" x14ac:dyDescent="0.25">
      <c r="A24" s="336" t="s">
        <v>12</v>
      </c>
      <c r="B24" s="330">
        <v>21</v>
      </c>
      <c r="C24" s="343" t="s">
        <v>161</v>
      </c>
      <c r="D24" s="352" t="s">
        <v>162</v>
      </c>
      <c r="E24" s="326" t="str">
        <f>IF(COUNTIF('Em Curso'!$B:$B,B24)&gt;0,"Em Curso",IF(COUNTIF(Planeados!$B:$B,B24)&gt;0,"Planeados",IF(COUNTIF(Standby!$B:$B,B24)&gt;0,"Standby",IF(COUNTIF('API integration Lab'!$B:$B,B24)&gt;0,"API integration Lab",""))))</f>
        <v>Planeados</v>
      </c>
      <c r="F24" s="319">
        <v>46199</v>
      </c>
      <c r="G24" s="320" t="s">
        <v>163</v>
      </c>
      <c r="H24" s="362" t="s">
        <v>164</v>
      </c>
      <c r="I24" s="355" t="s">
        <v>165</v>
      </c>
    </row>
    <row r="25" spans="1:9" ht="30" hidden="1" customHeight="1" x14ac:dyDescent="0.25">
      <c r="A25" s="336" t="s">
        <v>12</v>
      </c>
      <c r="B25" s="331">
        <v>22</v>
      </c>
      <c r="C25" s="340" t="s">
        <v>166</v>
      </c>
      <c r="D25" s="353" t="s">
        <v>124</v>
      </c>
      <c r="E25" s="326" t="str">
        <f>IF(COUNTIF('Em Curso'!$B:$B,B25)&gt;0,"Em Curso",IF(COUNTIF(Planeados!$B:$B,B25)&gt;0,"Planeados",IF(COUNTIF(Standby!$B:$B,B25)&gt;0,"Standby",IF(COUNTIF('API integration Lab'!$B:$B,B25)&gt;0,"API integration Lab",""))))</f>
        <v>Planeados</v>
      </c>
      <c r="F25" s="310"/>
      <c r="G25" s="311">
        <v>46199</v>
      </c>
      <c r="H25" s="353" t="s">
        <v>167</v>
      </c>
      <c r="I25" s="355" t="s">
        <v>168</v>
      </c>
    </row>
    <row r="26" spans="1:9" ht="30" hidden="1" customHeight="1" x14ac:dyDescent="0.25">
      <c r="A26" s="336" t="s">
        <v>12</v>
      </c>
      <c r="B26" s="331">
        <v>23</v>
      </c>
      <c r="C26" s="340" t="s">
        <v>169</v>
      </c>
      <c r="D26" s="353" t="s">
        <v>170</v>
      </c>
      <c r="E26" s="326" t="str">
        <f>IF(COUNTIF('Em Curso'!$B:$B,B26)&gt;0,"Em Curso",IF(COUNTIF(Planeados!$B:$B,B26)&gt;0,"Planeados",IF(COUNTIF(Standby!$B:$B,B26)&gt;0,"Standby",IF(COUNTIF('API integration Lab'!$B:$B,B26)&gt;0,"API integration Lab",""))))</f>
        <v>Planeados</v>
      </c>
      <c r="F26" s="312" t="s">
        <v>128</v>
      </c>
      <c r="G26" s="313" t="s">
        <v>128</v>
      </c>
      <c r="H26" s="353" t="s">
        <v>171</v>
      </c>
      <c r="I26" s="355">
        <v>1</v>
      </c>
    </row>
    <row r="27" spans="1:9" ht="40.5" hidden="1" x14ac:dyDescent="0.25">
      <c r="A27" s="335" t="s">
        <v>115</v>
      </c>
      <c r="B27" s="331">
        <v>24</v>
      </c>
      <c r="C27" s="340" t="s">
        <v>172</v>
      </c>
      <c r="D27" s="348" t="s">
        <v>173</v>
      </c>
      <c r="E27" s="326" t="str">
        <f>IF(COUNTIF('Em Curso'!$B:$B,B27)&gt;0,"Em Curso",IF(COUNTIF(Planeados!$B:$B,B27)&gt;0,"Planeados",IF(COUNTIF(Standby!$B:$B,B27)&gt;0,"Standby",IF(COUNTIF('API integration Lab'!$B:$B,B27)&gt;0,"API integration Lab",""))))</f>
        <v>Planeados</v>
      </c>
      <c r="F27" s="313" t="s">
        <v>109</v>
      </c>
      <c r="G27" s="311">
        <v>46199</v>
      </c>
      <c r="H27" s="348" t="s">
        <v>174</v>
      </c>
      <c r="I27" s="354"/>
    </row>
    <row r="28" spans="1:9" ht="27" hidden="1" x14ac:dyDescent="0.25">
      <c r="A28" s="335" t="s">
        <v>115</v>
      </c>
      <c r="B28" s="331">
        <v>25</v>
      </c>
      <c r="C28" s="340" t="s">
        <v>175</v>
      </c>
      <c r="D28" s="348" t="s">
        <v>176</v>
      </c>
      <c r="E28" s="326" t="str">
        <f>IF(COUNTIF('Em Curso'!$B:$B,B28)&gt;0,"Em Curso",IF(COUNTIF(Planeados!$B:$B,B28)&gt;0,"Planeados",IF(COUNTIF(Standby!$B:$B,B28)&gt;0,"Standby",IF(COUNTIF('API integration Lab'!$B:$B,B28)&gt;0,"API integration Lab",""))))</f>
        <v>Planeados</v>
      </c>
      <c r="F28" s="310">
        <v>46199</v>
      </c>
      <c r="G28" s="311">
        <v>46229</v>
      </c>
      <c r="H28" s="348" t="s">
        <v>177</v>
      </c>
      <c r="I28" s="354"/>
    </row>
    <row r="29" spans="1:9" ht="27" x14ac:dyDescent="0.25">
      <c r="A29" s="335" t="s">
        <v>98</v>
      </c>
      <c r="B29" s="330">
        <v>26</v>
      </c>
      <c r="C29" s="340" t="s">
        <v>29</v>
      </c>
      <c r="D29" s="348" t="s">
        <v>178</v>
      </c>
      <c r="E29" s="326" t="str">
        <f>IF(COUNTIF('Em Curso'!$B:$B,B29)&gt;0,"Em Curso",IF(COUNTIF(Planeados!$B:$B,B29)&gt;0,"Planeados",IF(COUNTIF(Standby!$B:$B,B29)&gt;0,"Standby",IF(COUNTIF('API integration Lab'!$B:$B,B29)&gt;0,"API integration Lab",""))))</f>
        <v>Planeados</v>
      </c>
      <c r="F29" s="312" t="s">
        <v>128</v>
      </c>
      <c r="G29" s="313" t="s">
        <v>128</v>
      </c>
      <c r="H29" s="348" t="s">
        <v>179</v>
      </c>
      <c r="I29" s="354"/>
    </row>
    <row r="30" spans="1:9" ht="40.5" x14ac:dyDescent="0.25">
      <c r="A30" s="335" t="s">
        <v>98</v>
      </c>
      <c r="B30" s="331">
        <v>27</v>
      </c>
      <c r="C30" s="340" t="s">
        <v>77</v>
      </c>
      <c r="D30" s="348" t="s">
        <v>180</v>
      </c>
      <c r="E30" s="326" t="str">
        <f>IF(COUNTIF('Em Curso'!$B:$B,B30)&gt;0,"Em Curso",IF(COUNTIF(Planeados!$B:$B,B30)&gt;0,"Planeados",IF(COUNTIF(Standby!$B:$B,B30)&gt;0,"Standby",IF(COUNTIF('API integration Lab'!$B:$B,B30)&gt;0,"API integration Lab",""))))</f>
        <v>Planeados</v>
      </c>
      <c r="F30" s="321" t="s">
        <v>163</v>
      </c>
      <c r="G30" s="313" t="s">
        <v>128</v>
      </c>
      <c r="H30" s="348" t="s">
        <v>181</v>
      </c>
      <c r="I30" s="354"/>
    </row>
    <row r="31" spans="1:9" ht="27" x14ac:dyDescent="0.25">
      <c r="A31" s="336" t="s">
        <v>98</v>
      </c>
      <c r="B31" s="330">
        <v>28</v>
      </c>
      <c r="C31" s="340" t="s">
        <v>182</v>
      </c>
      <c r="D31" s="348" t="s">
        <v>183</v>
      </c>
      <c r="E31" s="326" t="str">
        <f>IF(COUNTIF('Em Curso'!$B:$B,B31)&gt;0,"Em Curso",IF(COUNTIF(Planeados!$B:$B,B31)&gt;0,"Planeados",IF(COUNTIF(Standby!$B:$B,B31)&gt;0,"Standby",IF(COUNTIF('API integration Lab'!$B:$B,B31)&gt;0,"API integration Lab",""))))</f>
        <v>Standby</v>
      </c>
      <c r="F31" s="322" t="s">
        <v>128</v>
      </c>
      <c r="G31" s="313" t="s">
        <v>124</v>
      </c>
      <c r="H31" s="348" t="s">
        <v>184</v>
      </c>
      <c r="I31" s="354"/>
    </row>
    <row r="32" spans="1:9" ht="27" x14ac:dyDescent="0.25">
      <c r="A32" s="336" t="s">
        <v>98</v>
      </c>
      <c r="B32" s="330">
        <v>29</v>
      </c>
      <c r="C32" s="341" t="s">
        <v>185</v>
      </c>
      <c r="D32" s="349" t="s">
        <v>186</v>
      </c>
      <c r="E32" s="326" t="str">
        <f>IF(COUNTIF('Em Curso'!$B:$B,B32)&gt;0,"Em Curso",IF(COUNTIF(Planeados!$B:$B,B32)&gt;0,"Planeados",IF(COUNTIF(Standby!$B:$B,B32)&gt;0,"Standby",IF(COUNTIF('API integration Lab'!$B:$B,B32)&gt;0,"API integration Lab",""))))</f>
        <v>Standby</v>
      </c>
      <c r="F32" s="323" t="s">
        <v>128</v>
      </c>
      <c r="G32" s="313" t="s">
        <v>124</v>
      </c>
      <c r="H32" s="349" t="s">
        <v>184</v>
      </c>
      <c r="I32" s="354"/>
    </row>
    <row r="33" spans="1:9" ht="40.5" x14ac:dyDescent="0.25">
      <c r="A33" s="336" t="s">
        <v>98</v>
      </c>
      <c r="B33" s="330">
        <v>30</v>
      </c>
      <c r="C33" s="340" t="s">
        <v>187</v>
      </c>
      <c r="D33" s="348" t="s">
        <v>188</v>
      </c>
      <c r="E33" s="326" t="str">
        <f>IF(COUNTIF('Em Curso'!$B:$B,B33)&gt;0,"Em Curso",IF(COUNTIF(Planeados!$B:$B,B33)&gt;0,"Planeados",IF(COUNTIF(Standby!$B:$B,B33)&gt;0,"Standby",IF(COUNTIF('API integration Lab'!$B:$B,B33)&gt;0,"API integration Lab",""))))</f>
        <v>Standby</v>
      </c>
      <c r="F33" s="322" t="s">
        <v>128</v>
      </c>
      <c r="G33" s="313" t="s">
        <v>124</v>
      </c>
      <c r="H33" s="348" t="s">
        <v>189</v>
      </c>
      <c r="I33" s="354"/>
    </row>
    <row r="34" spans="1:9" ht="27" x14ac:dyDescent="0.25">
      <c r="A34" s="336" t="s">
        <v>98</v>
      </c>
      <c r="B34" s="330">
        <v>31</v>
      </c>
      <c r="C34" s="340" t="s">
        <v>190</v>
      </c>
      <c r="D34" s="348" t="s">
        <v>191</v>
      </c>
      <c r="E34" s="326" t="str">
        <f>IF(COUNTIF('Em Curso'!$B:$B,B34)&gt;0,"Em Curso",IF(COUNTIF(Planeados!$B:$B,B34)&gt;0,"Planeados",IF(COUNTIF(Standby!$B:$B,B34)&gt;0,"Standby",IF(COUNTIF('API integration Lab'!$B:$B,B34)&gt;0,"API integration Lab",""))))</f>
        <v>Standby</v>
      </c>
      <c r="F34" s="322" t="s">
        <v>128</v>
      </c>
      <c r="G34" s="313" t="s">
        <v>124</v>
      </c>
      <c r="H34" s="348" t="s">
        <v>192</v>
      </c>
      <c r="I34" s="354"/>
    </row>
    <row r="35" spans="1:9" ht="27" x14ac:dyDescent="0.25">
      <c r="A35" s="336" t="s">
        <v>98</v>
      </c>
      <c r="B35" s="330">
        <v>32</v>
      </c>
      <c r="C35" s="340" t="s">
        <v>193</v>
      </c>
      <c r="D35" s="348" t="s">
        <v>194</v>
      </c>
      <c r="E35" s="326" t="str">
        <f>IF(COUNTIF('Em Curso'!$B:$B,B35)&gt;0,"Em Curso",IF(COUNTIF(Planeados!$B:$B,B35)&gt;0,"Planeados",IF(COUNTIF(Standby!$B:$B,B35)&gt;0,"Standby",IF(COUNTIF('API integration Lab'!$B:$B,B35)&gt;0,"API integration Lab",""))))</f>
        <v>Standby</v>
      </c>
      <c r="F35" s="322" t="s">
        <v>128</v>
      </c>
      <c r="G35" s="313" t="s">
        <v>124</v>
      </c>
      <c r="H35" s="348" t="s">
        <v>195</v>
      </c>
      <c r="I35" s="354"/>
    </row>
    <row r="36" spans="1:9" ht="27" x14ac:dyDescent="0.25">
      <c r="A36" s="336" t="s">
        <v>98</v>
      </c>
      <c r="B36" s="330">
        <v>33</v>
      </c>
      <c r="C36" s="341" t="s">
        <v>196</v>
      </c>
      <c r="D36" s="349" t="s">
        <v>197</v>
      </c>
      <c r="E36" s="326" t="str">
        <f>IF(COUNTIF('Em Curso'!$B:$B,B36)&gt;0,"Em Curso",IF(COUNTIF(Planeados!$B:$B,B36)&gt;0,"Planeados",IF(COUNTIF(Standby!$B:$B,B36)&gt;0,"Standby",IF(COUNTIF('API integration Lab'!$B:$B,B36)&gt;0,"API integration Lab",""))))</f>
        <v>Standby</v>
      </c>
      <c r="F36" s="323" t="s">
        <v>128</v>
      </c>
      <c r="G36" s="313" t="s">
        <v>124</v>
      </c>
      <c r="H36" s="348" t="s">
        <v>195</v>
      </c>
      <c r="I36" s="354"/>
    </row>
    <row r="37" spans="1:9" ht="27" hidden="1" x14ac:dyDescent="0.25">
      <c r="A37" s="336" t="s">
        <v>12</v>
      </c>
      <c r="B37" s="330">
        <v>34</v>
      </c>
      <c r="C37" s="340" t="s">
        <v>198</v>
      </c>
      <c r="D37" s="348" t="s">
        <v>199</v>
      </c>
      <c r="E37" s="326" t="str">
        <f>IF(COUNTIF('Em Curso'!$B:$B,B37)&gt;0,"Em Curso",IF(COUNTIF(Planeados!$B:$B,B37)&gt;0,"Planeados",IF(COUNTIF(Standby!$B:$B,B37)&gt;0,"Standby",IF(COUNTIF('API integration Lab'!$B:$B,B37)&gt;0,"API integration Lab",""))))</f>
        <v>Standby</v>
      </c>
      <c r="F37" s="322" t="s">
        <v>128</v>
      </c>
      <c r="G37" s="317" t="s">
        <v>128</v>
      </c>
      <c r="H37" s="359" t="s">
        <v>124</v>
      </c>
      <c r="I37" s="358" t="s">
        <v>200</v>
      </c>
    </row>
    <row r="38" spans="1:9" ht="27" hidden="1" x14ac:dyDescent="0.25">
      <c r="A38" s="336" t="s">
        <v>12</v>
      </c>
      <c r="B38" s="330">
        <v>35</v>
      </c>
      <c r="C38" s="340" t="s">
        <v>201</v>
      </c>
      <c r="D38" s="348" t="s">
        <v>202</v>
      </c>
      <c r="E38" s="326" t="str">
        <f>IF(COUNTIF('Em Curso'!$B:$B,B38)&gt;0,"Em Curso",IF(COUNTIF(Planeados!$B:$B,B38)&gt;0,"Planeados",IF(COUNTIF(Standby!$B:$B,B38)&gt;0,"Standby",IF(COUNTIF('API integration Lab'!$B:$B,B38)&gt;0,"API integration Lab",""))))</f>
        <v>Standby</v>
      </c>
      <c r="F38" s="322" t="s">
        <v>128</v>
      </c>
      <c r="G38" s="317" t="s">
        <v>128</v>
      </c>
      <c r="H38" s="359" t="s">
        <v>124</v>
      </c>
      <c r="I38" s="359" t="s">
        <v>200</v>
      </c>
    </row>
    <row r="39" spans="1:9" ht="54" hidden="1" x14ac:dyDescent="0.25">
      <c r="A39" s="336" t="s">
        <v>12</v>
      </c>
      <c r="B39" s="333">
        <v>36</v>
      </c>
      <c r="C39" s="344" t="s">
        <v>203</v>
      </c>
      <c r="D39" s="352" t="s">
        <v>204</v>
      </c>
      <c r="E39" s="326" t="str">
        <f>IF(COUNTIF('Em Curso'!$B:$B,B39)&gt;0,"Em Curso",IF(COUNTIF(Planeados!$B:$B,B39)&gt;0,"Planeados",IF(COUNTIF(Standby!$B:$B,B39)&gt;0,"Standby",IF(COUNTIF('API integration Lab'!$B:$B,B39)&gt;0,"API integration Lab",""))))</f>
        <v>Standby</v>
      </c>
      <c r="F39" s="324" t="s">
        <v>128</v>
      </c>
      <c r="G39" s="320" t="s">
        <v>124</v>
      </c>
      <c r="H39" s="352" t="s">
        <v>205</v>
      </c>
      <c r="I39" s="355" t="s">
        <v>206</v>
      </c>
    </row>
    <row r="40" spans="1:9" ht="27" hidden="1" x14ac:dyDescent="0.25">
      <c r="A40" s="318" t="s">
        <v>118</v>
      </c>
      <c r="B40" s="330">
        <v>37</v>
      </c>
      <c r="C40" s="340" t="s">
        <v>207</v>
      </c>
      <c r="D40" s="348" t="s">
        <v>208</v>
      </c>
      <c r="E40" s="326" t="str">
        <f>IF(COUNTIF('Em Curso'!$B:$B,B40)&gt;0,"Em Curso",IF(COUNTIF(Planeados!$B:$B,B40)&gt;0,"Planeados",IF(COUNTIF(Standby!$B:$B,B40)&gt;0,"Standby",IF(COUNTIF('API integration Lab'!$B:$B,B40)&gt;0,"API integration Lab",""))))</f>
        <v>Standby</v>
      </c>
      <c r="F40" s="322" t="s">
        <v>128</v>
      </c>
      <c r="G40" s="313" t="s">
        <v>124</v>
      </c>
      <c r="H40" s="348" t="s">
        <v>209</v>
      </c>
      <c r="I40" s="354"/>
    </row>
    <row r="41" spans="1:9" ht="54" hidden="1" x14ac:dyDescent="0.25">
      <c r="A41" s="336" t="s">
        <v>210</v>
      </c>
      <c r="B41" s="330">
        <v>38</v>
      </c>
      <c r="C41" s="340" t="s">
        <v>211</v>
      </c>
      <c r="D41" s="348" t="s">
        <v>212</v>
      </c>
      <c r="E41" s="326" t="str">
        <f>IF(COUNTIF('Em Curso'!$B:$B,B41)&gt;0,"Em Curso",IF(COUNTIF(Planeados!$B:$B,B41)&gt;0,"Planeados",IF(COUNTIF(Standby!$B:$B,B41)&gt;0,"Standby",IF(COUNTIF('API integration Lab'!$B:$B,B41)&gt;0,"API integration Lab",""))))</f>
        <v>API integration Lab</v>
      </c>
      <c r="F41" s="323" t="s">
        <v>128</v>
      </c>
      <c r="G41" s="325" t="s">
        <v>109</v>
      </c>
      <c r="H41" s="363" t="s">
        <v>213</v>
      </c>
      <c r="I41" s="354"/>
    </row>
    <row r="42" spans="1:9" ht="30" hidden="1" x14ac:dyDescent="0.25">
      <c r="A42" s="336" t="s">
        <v>210</v>
      </c>
      <c r="B42" s="330">
        <v>39</v>
      </c>
      <c r="C42" s="341" t="s">
        <v>214</v>
      </c>
      <c r="D42" s="349" t="s">
        <v>215</v>
      </c>
      <c r="E42" s="326" t="str">
        <f>IF(COUNTIF('Em Curso'!$B:$B,B42)&gt;0,"Em Curso",IF(COUNTIF(Planeados!$B:$B,B42)&gt;0,"Planeados",IF(COUNTIF(Standby!$B:$B,B42)&gt;0,"Standby",IF(COUNTIF('API integration Lab'!$B:$B,B42)&gt;0,"API integration Lab",""))))</f>
        <v>API integration Lab</v>
      </c>
      <c r="F42" s="323" t="s">
        <v>128</v>
      </c>
      <c r="G42" s="315" t="s">
        <v>128</v>
      </c>
      <c r="H42" s="364" t="s">
        <v>216</v>
      </c>
      <c r="I42" s="354"/>
    </row>
    <row r="43" spans="1:9" ht="30" hidden="1" x14ac:dyDescent="0.25">
      <c r="A43" s="336" t="s">
        <v>210</v>
      </c>
      <c r="B43" s="330">
        <v>40</v>
      </c>
      <c r="C43" s="341" t="s">
        <v>217</v>
      </c>
      <c r="D43" s="349" t="s">
        <v>218</v>
      </c>
      <c r="E43" s="326" t="str">
        <f>IF(COUNTIF('Em Curso'!$B:$B,B43)&gt;0,"Em Curso",IF(COUNTIF(Planeados!$B:$B,B43)&gt;0,"Planeados",IF(COUNTIF(Standby!$B:$B,B43)&gt;0,"Standby",IF(COUNTIF('API integration Lab'!$B:$B,B43)&gt;0,"API integration Lab",""))))</f>
        <v>API integration Lab</v>
      </c>
      <c r="F43" s="323" t="s">
        <v>128</v>
      </c>
      <c r="G43" s="315" t="s">
        <v>123</v>
      </c>
      <c r="H43" s="364" t="s">
        <v>219</v>
      </c>
      <c r="I43" s="354"/>
    </row>
    <row r="44" spans="1:9" ht="27" hidden="1" x14ac:dyDescent="0.25">
      <c r="A44" s="336" t="s">
        <v>210</v>
      </c>
      <c r="B44" s="330">
        <v>41</v>
      </c>
      <c r="C44" s="341" t="s">
        <v>220</v>
      </c>
      <c r="D44" s="349" t="s">
        <v>221</v>
      </c>
      <c r="E44" s="326" t="str">
        <f>IF(COUNTIF('Em Curso'!$B:$B,B44)&gt;0,"Em Curso",IF(COUNTIF(Planeados!$B:$B,B44)&gt;0,"Planeados",IF(COUNTIF(Standby!$B:$B,B44)&gt;0,"Standby",IF(COUNTIF('API integration Lab'!$B:$B,B44)&gt;0,"API integration Lab",""))))</f>
        <v>API integration Lab</v>
      </c>
      <c r="F44" s="323" t="s">
        <v>128</v>
      </c>
      <c r="G44" s="315" t="s">
        <v>128</v>
      </c>
      <c r="H44" s="365" t="s">
        <v>222</v>
      </c>
      <c r="I44" s="354"/>
    </row>
    <row r="45" spans="1:9" ht="27" hidden="1" x14ac:dyDescent="0.25">
      <c r="A45" s="336" t="s">
        <v>210</v>
      </c>
      <c r="B45" s="330">
        <v>42</v>
      </c>
      <c r="C45" s="340" t="s">
        <v>223</v>
      </c>
      <c r="D45" s="348" t="s">
        <v>224</v>
      </c>
      <c r="E45" s="326" t="str">
        <f>IF(COUNTIF('Em Curso'!$B:$B,B45)&gt;0,"Em Curso",IF(COUNTIF(Planeados!$B:$B,B45)&gt;0,"Planeados",IF(COUNTIF(Standby!$B:$B,B45)&gt;0,"Standby",IF(COUNTIF('API integration Lab'!$B:$B,B45)&gt;0,"API integration Lab",""))))</f>
        <v>API integration Lab</v>
      </c>
      <c r="F45" s="323" t="s">
        <v>128</v>
      </c>
      <c r="G45" s="315" t="s">
        <v>128</v>
      </c>
      <c r="H45" s="363" t="s">
        <v>225</v>
      </c>
      <c r="I45" s="354"/>
    </row>
    <row r="46" spans="1:9" ht="27" hidden="1" x14ac:dyDescent="0.25">
      <c r="A46" s="336" t="s">
        <v>210</v>
      </c>
      <c r="B46" s="330">
        <v>43</v>
      </c>
      <c r="C46" s="340" t="s">
        <v>226</v>
      </c>
      <c r="D46" s="348" t="s">
        <v>227</v>
      </c>
      <c r="E46" s="326" t="str">
        <f>IF(COUNTIF('Em Curso'!$B:$B,B46)&gt;0,"Em Curso",IF(COUNTIF(Planeados!$B:$B,B46)&gt;0,"Planeados",IF(COUNTIF(Standby!$B:$B,B46)&gt;0,"Standby",IF(COUNTIF('API integration Lab'!$B:$B,B46)&gt;0,"API integration Lab",""))))</f>
        <v>API integration Lab</v>
      </c>
      <c r="F46" s="323" t="s">
        <v>128</v>
      </c>
      <c r="G46" s="315" t="s">
        <v>228</v>
      </c>
      <c r="H46" s="351" t="s">
        <v>124</v>
      </c>
      <c r="I46" s="354"/>
    </row>
    <row r="47" spans="1:9" ht="27" hidden="1" x14ac:dyDescent="0.25">
      <c r="A47" s="336" t="s">
        <v>210</v>
      </c>
      <c r="B47" s="330">
        <v>44</v>
      </c>
      <c r="C47" s="340" t="s">
        <v>229</v>
      </c>
      <c r="D47" s="348" t="s">
        <v>230</v>
      </c>
      <c r="E47" s="326" t="str">
        <f>IF(COUNTIF('Em Curso'!$B:$B,B47)&gt;0,"Em Curso",IF(COUNTIF(Planeados!$B:$B,B47)&gt;0,"Planeados",IF(COUNTIF(Standby!$B:$B,B47)&gt;0,"Standby",IF(COUNTIF('API integration Lab'!$B:$B,B47)&gt;0,"API integration Lab",""))))</f>
        <v>API integration Lab</v>
      </c>
      <c r="F47" s="323" t="s">
        <v>128</v>
      </c>
      <c r="G47" s="315" t="s">
        <v>128</v>
      </c>
      <c r="H47" s="363" t="s">
        <v>231</v>
      </c>
      <c r="I47" s="354"/>
    </row>
    <row r="48" spans="1:9" ht="27" hidden="1" x14ac:dyDescent="0.25">
      <c r="A48" s="336" t="s">
        <v>210</v>
      </c>
      <c r="B48" s="330">
        <v>45</v>
      </c>
      <c r="C48" s="341" t="s">
        <v>232</v>
      </c>
      <c r="D48" s="349" t="s">
        <v>233</v>
      </c>
      <c r="E48" s="326" t="str">
        <f>IF(COUNTIF('Em Curso'!$B:$B,B48)&gt;0,"Em Curso",IF(COUNTIF(Planeados!$B:$B,B48)&gt;0,"Planeados",IF(COUNTIF(Standby!$B:$B,B48)&gt;0,"Standby",IF(COUNTIF('API integration Lab'!$B:$B,B48)&gt;0,"API integration Lab",""))))</f>
        <v>API integration Lab</v>
      </c>
      <c r="F48" s="323" t="s">
        <v>128</v>
      </c>
      <c r="G48" s="315" t="s">
        <v>128</v>
      </c>
      <c r="H48" s="364" t="s">
        <v>234</v>
      </c>
      <c r="I48" s="354"/>
    </row>
    <row r="49" spans="1:9" x14ac:dyDescent="0.25">
      <c r="A49" s="327"/>
      <c r="B49" s="327"/>
      <c r="C49" s="338"/>
      <c r="D49" s="346"/>
      <c r="E49" s="309"/>
      <c r="F49" s="308"/>
      <c r="G49" s="369"/>
      <c r="H49" s="346"/>
      <c r="I49" s="354"/>
    </row>
    <row r="50" spans="1:9" x14ac:dyDescent="0.25">
      <c r="A50" s="327"/>
      <c r="B50" s="327"/>
      <c r="C50" s="338"/>
      <c r="D50" s="346"/>
      <c r="E50" s="309"/>
      <c r="F50" s="308"/>
      <c r="G50" s="369"/>
      <c r="H50" s="346"/>
      <c r="I50" s="354"/>
    </row>
  </sheetData>
  <autoFilter ref="A3:I48" xr:uid="{4E3FC333-F8AE-4017-82D6-562CC59E242A}">
    <filterColumn colId="0">
      <filters>
        <filter val="Credit"/>
      </filters>
    </filterColumn>
  </autoFilter>
  <mergeCells count="2">
    <mergeCell ref="G19:G20"/>
    <mergeCell ref="F19:F20"/>
  </mergeCells>
  <hyperlinks>
    <hyperlink ref="H41" r:id="rId1" xr:uid="{55DE74BC-F55E-4B23-A8C9-ADE8FB1D8F2C}"/>
    <hyperlink ref="H42" r:id="rId2" xr:uid="{9040B949-6F19-431E-A7B4-7C8B9787D182}"/>
    <hyperlink ref="H43" r:id="rId3" xr:uid="{45B2CFF1-85C1-4033-9AD0-314D6640B2B6}"/>
    <hyperlink ref="H45" r:id="rId4" xr:uid="{9AF8C463-DA68-49E0-A759-F442DA10A491}"/>
    <hyperlink ref="H47" r:id="rId5" xr:uid="{73D42609-474F-4506-98FD-6E88C21CBB0A}"/>
    <hyperlink ref="H48" r:id="rId6" xr:uid="{5C77724B-C5A5-4119-A1F2-296312EAB3BF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8148C-F454-401F-A4C1-CA2860824F7E}">
  <sheetPr codeName="Sheet7"/>
  <dimension ref="A1:L57"/>
  <sheetViews>
    <sheetView topLeftCell="C4" zoomScale="85" zoomScaleNormal="85" workbookViewId="0">
      <selection activeCell="D15" sqref="D15:D19"/>
    </sheetView>
  </sheetViews>
  <sheetFormatPr defaultRowHeight="15" x14ac:dyDescent="0.25"/>
  <cols>
    <col min="1" max="1" width="18.5703125" bestFit="1" customWidth="1"/>
    <col min="2" max="2" width="12.42578125" customWidth="1"/>
    <col min="3" max="3" width="68.42578125" customWidth="1"/>
    <col min="4" max="4" width="73.42578125" customWidth="1"/>
    <col min="5" max="5" width="12" customWidth="1"/>
    <col min="6" max="6" width="13.42578125" customWidth="1"/>
    <col min="7" max="7" width="78.5703125" customWidth="1"/>
  </cols>
  <sheetData>
    <row r="1" spans="1:9" ht="24" x14ac:dyDescent="0.45">
      <c r="A1" s="1"/>
      <c r="B1" s="1"/>
    </row>
    <row r="2" spans="1:9" ht="33" x14ac:dyDescent="0.6">
      <c r="A2" s="144" t="s">
        <v>235</v>
      </c>
      <c r="B2" s="1"/>
    </row>
    <row r="4" spans="1:9" ht="29.25" customHeight="1" x14ac:dyDescent="0.25">
      <c r="A4" s="126" t="s">
        <v>90</v>
      </c>
      <c r="B4" s="126" t="s">
        <v>91</v>
      </c>
      <c r="C4" s="127" t="s">
        <v>46</v>
      </c>
      <c r="D4" s="127" t="s">
        <v>92</v>
      </c>
      <c r="E4" s="127" t="s">
        <v>94</v>
      </c>
      <c r="F4" s="127" t="s">
        <v>95</v>
      </c>
      <c r="G4" s="128" t="s">
        <v>96</v>
      </c>
    </row>
    <row r="5" spans="1:9" ht="54.75" customHeight="1" x14ac:dyDescent="0.25">
      <c r="A5" s="304" t="s">
        <v>98</v>
      </c>
      <c r="B5" s="303">
        <v>1</v>
      </c>
      <c r="C5" s="305" t="s">
        <v>25</v>
      </c>
      <c r="D5" s="124" t="s">
        <v>99</v>
      </c>
      <c r="E5" s="306" t="s">
        <v>105</v>
      </c>
      <c r="F5" s="307" t="s">
        <v>236</v>
      </c>
      <c r="G5" s="302" t="s">
        <v>100</v>
      </c>
    </row>
    <row r="6" spans="1:9" ht="38.25" customHeight="1" x14ac:dyDescent="0.25">
      <c r="A6" s="505" t="s">
        <v>12</v>
      </c>
      <c r="B6" s="511">
        <v>2</v>
      </c>
      <c r="C6" s="507" t="s">
        <v>26</v>
      </c>
      <c r="D6" s="509" t="s">
        <v>101</v>
      </c>
      <c r="E6" s="484" t="s">
        <v>237</v>
      </c>
      <c r="F6" s="484" t="s">
        <v>237</v>
      </c>
      <c r="G6" s="485" t="s">
        <v>238</v>
      </c>
    </row>
    <row r="7" spans="1:9" ht="43.5" customHeight="1" x14ac:dyDescent="0.25">
      <c r="A7" s="506"/>
      <c r="B7" s="512"/>
      <c r="C7" s="508"/>
      <c r="D7" s="510"/>
      <c r="E7" s="484"/>
      <c r="F7" s="484"/>
      <c r="G7" s="486"/>
    </row>
    <row r="8" spans="1:9" ht="81.75" customHeight="1" x14ac:dyDescent="0.25">
      <c r="A8" s="209" t="s">
        <v>12</v>
      </c>
      <c r="B8" s="212">
        <v>3</v>
      </c>
      <c r="C8" s="210" t="s">
        <v>27</v>
      </c>
      <c r="D8" s="18" t="s">
        <v>104</v>
      </c>
      <c r="E8" s="45" t="s">
        <v>105</v>
      </c>
      <c r="F8" s="65" t="s">
        <v>123</v>
      </c>
      <c r="G8" s="27" t="s">
        <v>239</v>
      </c>
      <c r="H8" s="188"/>
    </row>
    <row r="9" spans="1:9" ht="29.25" customHeight="1" x14ac:dyDescent="0.25">
      <c r="A9" s="487" t="s">
        <v>98</v>
      </c>
      <c r="B9" s="213">
        <v>4</v>
      </c>
      <c r="C9" s="210" t="s">
        <v>28</v>
      </c>
      <c r="D9" s="18" t="s">
        <v>108</v>
      </c>
      <c r="E9" s="65" t="s">
        <v>236</v>
      </c>
      <c r="F9" s="65" t="s">
        <v>109</v>
      </c>
      <c r="G9" s="27" t="s">
        <v>110</v>
      </c>
    </row>
    <row r="10" spans="1:9" x14ac:dyDescent="0.25">
      <c r="A10" s="488"/>
      <c r="B10" s="491">
        <v>5</v>
      </c>
      <c r="C10" s="501" t="s">
        <v>30</v>
      </c>
      <c r="D10" s="465" t="s">
        <v>111</v>
      </c>
      <c r="E10" s="492" t="s">
        <v>105</v>
      </c>
      <c r="F10" s="478" t="s">
        <v>236</v>
      </c>
      <c r="G10" s="470" t="s">
        <v>112</v>
      </c>
    </row>
    <row r="11" spans="1:9" x14ac:dyDescent="0.25">
      <c r="A11" s="488"/>
      <c r="B11" s="491"/>
      <c r="C11" s="502"/>
      <c r="D11" s="503"/>
      <c r="E11" s="492"/>
      <c r="F11" s="478"/>
      <c r="G11" s="471"/>
    </row>
    <row r="12" spans="1:9" x14ac:dyDescent="0.25">
      <c r="A12" s="488"/>
      <c r="B12" s="491">
        <v>6</v>
      </c>
      <c r="C12" s="463" t="s">
        <v>31</v>
      </c>
      <c r="D12" s="465" t="s">
        <v>113</v>
      </c>
      <c r="E12" s="478" t="s">
        <v>240</v>
      </c>
      <c r="F12" s="478" t="s">
        <v>109</v>
      </c>
      <c r="G12" s="476" t="s">
        <v>114</v>
      </c>
    </row>
    <row r="13" spans="1:9" x14ac:dyDescent="0.25">
      <c r="A13" s="489"/>
      <c r="B13" s="504"/>
      <c r="C13" s="464"/>
      <c r="D13" s="466"/>
      <c r="E13" s="479"/>
      <c r="F13" s="479"/>
      <c r="G13" s="477"/>
    </row>
    <row r="14" spans="1:9" ht="17.25" x14ac:dyDescent="0.25">
      <c r="A14" s="291" t="s">
        <v>115</v>
      </c>
      <c r="B14" s="216">
        <v>7</v>
      </c>
      <c r="C14" s="292" t="s">
        <v>35</v>
      </c>
      <c r="D14" s="293" t="s">
        <v>116</v>
      </c>
      <c r="E14" s="222" t="s">
        <v>236</v>
      </c>
      <c r="F14" s="283" t="s">
        <v>109</v>
      </c>
      <c r="G14" s="6" t="s">
        <v>241</v>
      </c>
      <c r="I14" s="6"/>
    </row>
    <row r="15" spans="1:9" ht="34.5" x14ac:dyDescent="0.25">
      <c r="A15" s="291" t="s">
        <v>118</v>
      </c>
      <c r="B15" s="216">
        <v>8</v>
      </c>
      <c r="C15" s="292" t="s">
        <v>36</v>
      </c>
      <c r="D15" s="282" t="s">
        <v>119</v>
      </c>
      <c r="E15" s="222" t="s">
        <v>240</v>
      </c>
      <c r="F15" s="283" t="s">
        <v>242</v>
      </c>
      <c r="G15" s="6" t="s">
        <v>120</v>
      </c>
      <c r="I15" s="6"/>
    </row>
    <row r="16" spans="1:9" ht="69" x14ac:dyDescent="0.25">
      <c r="A16" s="291" t="s">
        <v>12</v>
      </c>
      <c r="B16" s="216">
        <v>9</v>
      </c>
      <c r="C16" s="290" t="s">
        <v>121</v>
      </c>
      <c r="D16" s="287" t="s">
        <v>122</v>
      </c>
      <c r="E16" s="222" t="s">
        <v>243</v>
      </c>
      <c r="F16" s="283"/>
      <c r="G16" s="6"/>
      <c r="I16" s="6"/>
    </row>
    <row r="17" spans="1:12" ht="34.5" x14ac:dyDescent="0.25">
      <c r="A17" s="289" t="s">
        <v>12</v>
      </c>
      <c r="B17" s="216">
        <v>10</v>
      </c>
      <c r="C17" s="290" t="s">
        <v>126</v>
      </c>
      <c r="D17" s="288" t="s">
        <v>244</v>
      </c>
      <c r="E17" s="284" t="s">
        <v>243</v>
      </c>
      <c r="F17" s="285" t="s">
        <v>128</v>
      </c>
      <c r="G17" s="286"/>
      <c r="I17" s="6"/>
    </row>
    <row r="18" spans="1:12" ht="29.25" customHeight="1" x14ac:dyDescent="0.25">
      <c r="A18" s="493" t="s">
        <v>12</v>
      </c>
      <c r="B18" s="490">
        <v>11</v>
      </c>
      <c r="C18" s="496" t="s">
        <v>32</v>
      </c>
      <c r="D18" s="498" t="s">
        <v>72</v>
      </c>
      <c r="E18" s="474" t="s">
        <v>240</v>
      </c>
      <c r="F18" s="480" t="s">
        <v>109</v>
      </c>
      <c r="G18" s="472" t="s">
        <v>245</v>
      </c>
      <c r="I18" s="6"/>
    </row>
    <row r="19" spans="1:12" ht="60.75" customHeight="1" x14ac:dyDescent="0.25">
      <c r="A19" s="493"/>
      <c r="B19" s="490"/>
      <c r="C19" s="497"/>
      <c r="D19" s="499"/>
      <c r="E19" s="475"/>
      <c r="F19" s="481"/>
      <c r="G19" s="473"/>
    </row>
    <row r="20" spans="1:12" x14ac:dyDescent="0.25">
      <c r="A20" s="494"/>
      <c r="B20" s="491">
        <v>12</v>
      </c>
      <c r="C20" s="500" t="s">
        <v>134</v>
      </c>
      <c r="D20" s="467" t="s">
        <v>135</v>
      </c>
      <c r="E20" s="483" t="s">
        <v>237</v>
      </c>
      <c r="F20" s="482" t="s">
        <v>131</v>
      </c>
      <c r="G20" s="467" t="s">
        <v>246</v>
      </c>
    </row>
    <row r="21" spans="1:12" x14ac:dyDescent="0.25">
      <c r="A21" s="494"/>
      <c r="B21" s="491"/>
      <c r="C21" s="468"/>
      <c r="D21" s="468"/>
      <c r="E21" s="483"/>
      <c r="F21" s="482"/>
      <c r="G21" s="468"/>
    </row>
    <row r="22" spans="1:12" x14ac:dyDescent="0.25">
      <c r="A22" s="494"/>
      <c r="B22" s="491"/>
      <c r="C22" s="468"/>
      <c r="D22" s="468"/>
      <c r="E22" s="483"/>
      <c r="F22" s="482"/>
      <c r="G22" s="468"/>
    </row>
    <row r="23" spans="1:12" ht="39.75" customHeight="1" x14ac:dyDescent="0.25">
      <c r="A23" s="494"/>
      <c r="B23" s="491"/>
      <c r="C23" s="469"/>
      <c r="D23" s="469"/>
      <c r="E23" s="483"/>
      <c r="F23" s="482"/>
      <c r="G23" s="469"/>
      <c r="L23" s="7"/>
    </row>
    <row r="24" spans="1:12" ht="75" x14ac:dyDescent="0.25">
      <c r="A24" s="494"/>
      <c r="B24" s="215">
        <v>13</v>
      </c>
      <c r="C24" s="210" t="s">
        <v>137</v>
      </c>
      <c r="D24" s="18" t="s">
        <v>247</v>
      </c>
      <c r="E24" s="266" t="s">
        <v>236</v>
      </c>
      <c r="F24" s="267" t="s">
        <v>109</v>
      </c>
      <c r="G24" s="27" t="s">
        <v>139</v>
      </c>
    </row>
    <row r="25" spans="1:12" ht="72.75" customHeight="1" thickBot="1" x14ac:dyDescent="0.3">
      <c r="A25" s="495"/>
      <c r="B25" s="298">
        <v>14</v>
      </c>
      <c r="C25" s="299" t="s">
        <v>140</v>
      </c>
      <c r="D25" s="198" t="s">
        <v>248</v>
      </c>
      <c r="E25" s="199" t="s">
        <v>236</v>
      </c>
      <c r="F25" s="199" t="s">
        <v>109</v>
      </c>
      <c r="G25" s="200" t="s">
        <v>249</v>
      </c>
    </row>
    <row r="26" spans="1:12" ht="18" thickTop="1" x14ac:dyDescent="0.25">
      <c r="A26" s="4"/>
      <c r="B26" s="4"/>
      <c r="C26" s="5"/>
      <c r="D26" s="6"/>
      <c r="E26" s="67"/>
      <c r="F26" s="68"/>
    </row>
    <row r="27" spans="1:12" x14ac:dyDescent="0.25">
      <c r="E27" s="66"/>
      <c r="F27" s="66"/>
    </row>
    <row r="28" spans="1:12" x14ac:dyDescent="0.25">
      <c r="E28" s="66"/>
      <c r="F28" s="66"/>
    </row>
    <row r="29" spans="1:12" x14ac:dyDescent="0.25">
      <c r="E29" s="66"/>
      <c r="F29" s="66"/>
    </row>
    <row r="30" spans="1:12" x14ac:dyDescent="0.25">
      <c r="E30" s="66"/>
      <c r="F30" s="66"/>
    </row>
    <row r="31" spans="1:12" x14ac:dyDescent="0.25">
      <c r="E31" s="66"/>
      <c r="F31" s="66"/>
    </row>
    <row r="32" spans="1:12" x14ac:dyDescent="0.25">
      <c r="E32" s="66"/>
      <c r="F32" s="66"/>
    </row>
    <row r="33" spans="5:6" x14ac:dyDescent="0.25">
      <c r="E33" s="66"/>
      <c r="F33" s="66"/>
    </row>
    <row r="34" spans="5:6" x14ac:dyDescent="0.25">
      <c r="E34" s="66"/>
      <c r="F34" s="66"/>
    </row>
    <row r="35" spans="5:6" x14ac:dyDescent="0.25">
      <c r="E35" s="66"/>
      <c r="F35" s="66"/>
    </row>
    <row r="36" spans="5:6" x14ac:dyDescent="0.25">
      <c r="E36" s="66"/>
      <c r="F36" s="66"/>
    </row>
    <row r="37" spans="5:6" x14ac:dyDescent="0.25">
      <c r="E37" s="66"/>
      <c r="F37" s="66"/>
    </row>
    <row r="38" spans="5:6" x14ac:dyDescent="0.25">
      <c r="E38" s="66"/>
      <c r="F38" s="66"/>
    </row>
    <row r="39" spans="5:6" x14ac:dyDescent="0.25">
      <c r="E39" s="66"/>
      <c r="F39" s="66"/>
    </row>
    <row r="40" spans="5:6" x14ac:dyDescent="0.25">
      <c r="E40" s="66"/>
      <c r="F40" s="66"/>
    </row>
    <row r="41" spans="5:6" x14ac:dyDescent="0.25">
      <c r="E41" s="66"/>
      <c r="F41" s="66"/>
    </row>
    <row r="42" spans="5:6" x14ac:dyDescent="0.25">
      <c r="E42" s="66"/>
      <c r="F42" s="66"/>
    </row>
    <row r="43" spans="5:6" x14ac:dyDescent="0.25">
      <c r="E43" s="66"/>
      <c r="F43" s="66"/>
    </row>
    <row r="44" spans="5:6" x14ac:dyDescent="0.25">
      <c r="E44" s="66"/>
      <c r="F44" s="66"/>
    </row>
    <row r="45" spans="5:6" x14ac:dyDescent="0.25">
      <c r="E45" s="66"/>
      <c r="F45" s="66"/>
    </row>
    <row r="46" spans="5:6" x14ac:dyDescent="0.25">
      <c r="E46" s="66"/>
      <c r="F46" s="66"/>
    </row>
    <row r="47" spans="5:6" x14ac:dyDescent="0.25">
      <c r="E47" s="66"/>
      <c r="F47" s="66"/>
    </row>
    <row r="48" spans="5:6" x14ac:dyDescent="0.25">
      <c r="E48" s="66"/>
      <c r="F48" s="66"/>
    </row>
    <row r="49" spans="5:6" x14ac:dyDescent="0.25">
      <c r="E49" s="66"/>
      <c r="F49" s="66"/>
    </row>
    <row r="50" spans="5:6" x14ac:dyDescent="0.25">
      <c r="E50" s="66"/>
      <c r="F50" s="66"/>
    </row>
    <row r="51" spans="5:6" x14ac:dyDescent="0.25">
      <c r="E51" s="66"/>
      <c r="F51" s="66"/>
    </row>
    <row r="52" spans="5:6" x14ac:dyDescent="0.25">
      <c r="E52" s="66"/>
      <c r="F52" s="66"/>
    </row>
    <row r="53" spans="5:6" x14ac:dyDescent="0.25">
      <c r="E53" s="66"/>
      <c r="F53" s="66"/>
    </row>
    <row r="54" spans="5:6" x14ac:dyDescent="0.25">
      <c r="E54" s="66"/>
      <c r="F54" s="66"/>
    </row>
    <row r="55" spans="5:6" x14ac:dyDescent="0.25">
      <c r="E55" s="66"/>
      <c r="F55" s="66"/>
    </row>
    <row r="56" spans="5:6" x14ac:dyDescent="0.25">
      <c r="E56" s="66"/>
      <c r="F56" s="66"/>
    </row>
    <row r="57" spans="5:6" x14ac:dyDescent="0.25">
      <c r="E57" s="66"/>
      <c r="F57" s="66"/>
    </row>
  </sheetData>
  <autoFilter ref="A4:G25" xr:uid="{7538148C-F454-401F-A4C1-CA2860824F7E}"/>
  <mergeCells count="33">
    <mergeCell ref="A6:A7"/>
    <mergeCell ref="C6:C7"/>
    <mergeCell ref="D6:D7"/>
    <mergeCell ref="B6:B7"/>
    <mergeCell ref="E6:E7"/>
    <mergeCell ref="F6:F7"/>
    <mergeCell ref="G6:G7"/>
    <mergeCell ref="A9:A13"/>
    <mergeCell ref="B18:B19"/>
    <mergeCell ref="B20:B23"/>
    <mergeCell ref="D20:D23"/>
    <mergeCell ref="E10:E11"/>
    <mergeCell ref="E12:E13"/>
    <mergeCell ref="A18:A25"/>
    <mergeCell ref="C18:C19"/>
    <mergeCell ref="D18:D19"/>
    <mergeCell ref="C20:C23"/>
    <mergeCell ref="C10:C11"/>
    <mergeCell ref="D10:D11"/>
    <mergeCell ref="B10:B11"/>
    <mergeCell ref="B12:B13"/>
    <mergeCell ref="C12:C13"/>
    <mergeCell ref="D12:D13"/>
    <mergeCell ref="G20:G23"/>
    <mergeCell ref="G10:G11"/>
    <mergeCell ref="G18:G19"/>
    <mergeCell ref="E18:E19"/>
    <mergeCell ref="G12:G13"/>
    <mergeCell ref="F10:F11"/>
    <mergeCell ref="F12:F13"/>
    <mergeCell ref="F18:F19"/>
    <mergeCell ref="F20:F23"/>
    <mergeCell ref="E20:E23"/>
  </mergeCells>
  <phoneticPr fontId="6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45B39-590C-4B20-B2FA-3A2C26408FEA}">
  <sheetPr codeName="Sheet8"/>
  <dimension ref="A2:G79"/>
  <sheetViews>
    <sheetView topLeftCell="A11" zoomScaleNormal="100" workbookViewId="0">
      <selection activeCell="C18" sqref="C18"/>
    </sheetView>
  </sheetViews>
  <sheetFormatPr defaultRowHeight="15" x14ac:dyDescent="0.25"/>
  <cols>
    <col min="1" max="1" width="21.42578125" bestFit="1" customWidth="1"/>
    <col min="2" max="2" width="11" customWidth="1"/>
    <col min="3" max="3" width="62.42578125" customWidth="1"/>
    <col min="4" max="4" width="69.5703125" customWidth="1"/>
    <col min="5" max="5" width="14.5703125" customWidth="1"/>
    <col min="6" max="6" width="13.5703125" customWidth="1"/>
    <col min="7" max="7" width="63" customWidth="1"/>
  </cols>
  <sheetData>
    <row r="2" spans="1:7" ht="33" x14ac:dyDescent="0.6">
      <c r="A2" s="145" t="s">
        <v>250</v>
      </c>
      <c r="B2" s="1"/>
    </row>
    <row r="4" spans="1:7" ht="15.75" thickBot="1" x14ac:dyDescent="0.3"/>
    <row r="5" spans="1:7" ht="27" customHeight="1" thickTop="1" thickBot="1" x14ac:dyDescent="0.3">
      <c r="A5" s="132" t="s">
        <v>90</v>
      </c>
      <c r="B5" s="132" t="s">
        <v>91</v>
      </c>
      <c r="C5" s="133" t="s">
        <v>46</v>
      </c>
      <c r="D5" s="133" t="s">
        <v>92</v>
      </c>
      <c r="E5" s="133" t="s">
        <v>94</v>
      </c>
      <c r="F5" s="127" t="s">
        <v>95</v>
      </c>
      <c r="G5" s="131" t="s">
        <v>96</v>
      </c>
    </row>
    <row r="6" spans="1:7" ht="53.25" customHeight="1" thickTop="1" x14ac:dyDescent="0.25">
      <c r="A6" s="3" t="s">
        <v>12</v>
      </c>
      <c r="B6" s="52">
        <v>15</v>
      </c>
      <c r="C6" s="513" t="s">
        <v>251</v>
      </c>
      <c r="D6" s="14" t="s">
        <v>144</v>
      </c>
      <c r="E6" s="270" t="s">
        <v>128</v>
      </c>
      <c r="F6" s="270" t="s">
        <v>128</v>
      </c>
      <c r="G6" s="59" t="s">
        <v>146</v>
      </c>
    </row>
    <row r="7" spans="1:7" ht="56.1" customHeight="1" x14ac:dyDescent="0.25">
      <c r="A7" s="9" t="s">
        <v>12</v>
      </c>
      <c r="B7" s="47">
        <v>16</v>
      </c>
      <c r="C7" s="514"/>
      <c r="D7" s="16" t="s">
        <v>147</v>
      </c>
      <c r="E7" s="518" t="s">
        <v>131</v>
      </c>
      <c r="F7" s="516" t="s">
        <v>123</v>
      </c>
      <c r="G7" s="189" t="s">
        <v>252</v>
      </c>
    </row>
    <row r="8" spans="1:7" ht="60.75" thickBot="1" x14ac:dyDescent="0.3">
      <c r="A8" s="8" t="s">
        <v>12</v>
      </c>
      <c r="B8" s="54">
        <v>17</v>
      </c>
      <c r="C8" s="515"/>
      <c r="D8" s="12" t="s">
        <v>150</v>
      </c>
      <c r="E8" s="519"/>
      <c r="F8" s="517"/>
      <c r="G8" s="192" t="s">
        <v>253</v>
      </c>
    </row>
    <row r="9" spans="1:7" ht="48.75" customHeight="1" thickTop="1" thickBot="1" x14ac:dyDescent="0.3">
      <c r="A9" s="3" t="s">
        <v>118</v>
      </c>
      <c r="B9" s="55">
        <v>19</v>
      </c>
      <c r="C9" s="25" t="s">
        <v>152</v>
      </c>
      <c r="D9" s="294" t="s">
        <v>153</v>
      </c>
      <c r="E9" s="271" t="s">
        <v>242</v>
      </c>
      <c r="F9" s="271"/>
      <c r="G9" s="60" t="s">
        <v>154</v>
      </c>
    </row>
    <row r="10" spans="1:7" ht="64.5" customHeight="1" x14ac:dyDescent="0.25">
      <c r="A10" s="2" t="s">
        <v>12</v>
      </c>
      <c r="B10" s="53">
        <v>18</v>
      </c>
      <c r="C10" s="24" t="s">
        <v>155</v>
      </c>
      <c r="D10" s="295"/>
      <c r="E10" s="272" t="s">
        <v>128</v>
      </c>
      <c r="F10" s="272" t="s">
        <v>128</v>
      </c>
      <c r="G10" s="61" t="s">
        <v>254</v>
      </c>
    </row>
    <row r="11" spans="1:7" ht="47.25" customHeight="1" thickBot="1" x14ac:dyDescent="0.3">
      <c r="A11" s="26" t="s">
        <v>118</v>
      </c>
      <c r="B11" s="51">
        <v>20</v>
      </c>
      <c r="C11" s="12" t="s">
        <v>158</v>
      </c>
      <c r="D11" s="13" t="s">
        <v>159</v>
      </c>
      <c r="E11" s="273" t="s">
        <v>123</v>
      </c>
      <c r="F11" s="273" t="s">
        <v>109</v>
      </c>
      <c r="G11" s="62" t="s">
        <v>160</v>
      </c>
    </row>
    <row r="12" spans="1:7" ht="90.75" thickTop="1" x14ac:dyDescent="0.25">
      <c r="A12" s="193" t="s">
        <v>12</v>
      </c>
      <c r="B12" s="194">
        <v>21</v>
      </c>
      <c r="C12" s="197" t="s">
        <v>161</v>
      </c>
      <c r="D12" s="196" t="s">
        <v>162</v>
      </c>
      <c r="E12" s="279" t="s">
        <v>242</v>
      </c>
      <c r="F12" s="279" t="s">
        <v>163</v>
      </c>
      <c r="G12" s="195" t="s">
        <v>255</v>
      </c>
    </row>
    <row r="13" spans="1:7" ht="45.75" customHeight="1" x14ac:dyDescent="0.25">
      <c r="A13" s="193" t="s">
        <v>12</v>
      </c>
      <c r="B13" s="47">
        <v>22</v>
      </c>
      <c r="C13" s="16" t="s">
        <v>166</v>
      </c>
      <c r="D13" s="20"/>
      <c r="E13" s="272" t="s">
        <v>242</v>
      </c>
      <c r="F13" s="274" t="s">
        <v>128</v>
      </c>
      <c r="G13" s="150" t="s">
        <v>256</v>
      </c>
    </row>
    <row r="14" spans="1:7" ht="44.25" customHeight="1" thickBot="1" x14ac:dyDescent="0.3">
      <c r="A14" s="193" t="s">
        <v>12</v>
      </c>
      <c r="B14" s="54">
        <v>23</v>
      </c>
      <c r="C14" s="12" t="s">
        <v>169</v>
      </c>
      <c r="D14" s="21" t="s">
        <v>170</v>
      </c>
      <c r="E14" s="275" t="s">
        <v>128</v>
      </c>
      <c r="F14" s="280" t="s">
        <v>128</v>
      </c>
      <c r="G14" s="63" t="s">
        <v>171</v>
      </c>
    </row>
    <row r="15" spans="1:7" ht="52.5" customHeight="1" thickTop="1" x14ac:dyDescent="0.25">
      <c r="A15" s="3" t="s">
        <v>115</v>
      </c>
      <c r="B15" s="55">
        <v>24</v>
      </c>
      <c r="C15" s="14" t="s">
        <v>172</v>
      </c>
      <c r="D15" s="15" t="s">
        <v>173</v>
      </c>
      <c r="E15" s="276" t="s">
        <v>236</v>
      </c>
      <c r="F15" s="276" t="s">
        <v>109</v>
      </c>
      <c r="G15" s="22" t="s">
        <v>257</v>
      </c>
    </row>
    <row r="16" spans="1:7" ht="45.75" thickBot="1" x14ac:dyDescent="0.3">
      <c r="A16" s="80" t="s">
        <v>115</v>
      </c>
      <c r="B16" s="56">
        <v>25</v>
      </c>
      <c r="C16" s="57" t="s">
        <v>175</v>
      </c>
      <c r="D16" s="58" t="s">
        <v>176</v>
      </c>
      <c r="E16" s="277" t="s">
        <v>242</v>
      </c>
      <c r="F16" s="277" t="s">
        <v>258</v>
      </c>
      <c r="G16" s="64" t="s">
        <v>177</v>
      </c>
    </row>
    <row r="17" spans="1:7" ht="30.75" thickTop="1" x14ac:dyDescent="0.25">
      <c r="A17" s="80" t="s">
        <v>98</v>
      </c>
      <c r="B17" s="214">
        <v>26</v>
      </c>
      <c r="C17" s="211" t="s">
        <v>29</v>
      </c>
      <c r="D17" s="15" t="s">
        <v>178</v>
      </c>
      <c r="E17" s="281" t="s">
        <v>128</v>
      </c>
      <c r="F17" s="281" t="s">
        <v>128</v>
      </c>
      <c r="G17" s="28" t="s">
        <v>259</v>
      </c>
    </row>
    <row r="18" spans="1:7" ht="35.25" thickBot="1" x14ac:dyDescent="0.3">
      <c r="A18" s="80" t="s">
        <v>98</v>
      </c>
      <c r="B18" s="296">
        <v>27</v>
      </c>
      <c r="C18" s="268" t="s">
        <v>77</v>
      </c>
      <c r="D18" s="269" t="s">
        <v>180</v>
      </c>
      <c r="E18" s="278" t="s">
        <v>163</v>
      </c>
      <c r="F18" s="281" t="s">
        <v>128</v>
      </c>
      <c r="G18" s="6" t="s">
        <v>181</v>
      </c>
    </row>
    <row r="19" spans="1:7" x14ac:dyDescent="0.25">
      <c r="E19" s="66"/>
      <c r="F19" s="66"/>
    </row>
    <row r="20" spans="1:7" x14ac:dyDescent="0.25">
      <c r="E20" s="66"/>
      <c r="F20" s="66"/>
    </row>
    <row r="21" spans="1:7" x14ac:dyDescent="0.25">
      <c r="E21" s="66"/>
      <c r="F21" s="66"/>
    </row>
    <row r="22" spans="1:7" x14ac:dyDescent="0.25">
      <c r="E22" s="66"/>
      <c r="F22" s="66"/>
    </row>
    <row r="23" spans="1:7" x14ac:dyDescent="0.25">
      <c r="E23" s="66"/>
      <c r="F23" s="66"/>
    </row>
    <row r="24" spans="1:7" x14ac:dyDescent="0.25">
      <c r="E24" s="66"/>
      <c r="F24" s="66"/>
    </row>
    <row r="25" spans="1:7" x14ac:dyDescent="0.25">
      <c r="E25" s="66"/>
      <c r="F25" s="66"/>
    </row>
    <row r="26" spans="1:7" x14ac:dyDescent="0.25">
      <c r="E26" s="66"/>
      <c r="F26" s="66"/>
    </row>
    <row r="27" spans="1:7" x14ac:dyDescent="0.25">
      <c r="E27" s="66"/>
      <c r="F27" s="66"/>
    </row>
    <row r="28" spans="1:7" x14ac:dyDescent="0.25">
      <c r="E28" s="66"/>
      <c r="F28" s="66"/>
    </row>
    <row r="29" spans="1:7" x14ac:dyDescent="0.25">
      <c r="E29" s="66"/>
      <c r="F29" s="66"/>
    </row>
    <row r="30" spans="1:7" x14ac:dyDescent="0.25">
      <c r="E30" s="66"/>
      <c r="F30" s="66"/>
    </row>
    <row r="31" spans="1:7" x14ac:dyDescent="0.25">
      <c r="E31" s="66"/>
      <c r="F31" s="66"/>
    </row>
    <row r="32" spans="1:7" x14ac:dyDescent="0.25">
      <c r="E32" s="66"/>
      <c r="F32" s="66"/>
    </row>
    <row r="33" spans="5:6" x14ac:dyDescent="0.25">
      <c r="E33" s="66"/>
      <c r="F33" s="66"/>
    </row>
    <row r="34" spans="5:6" x14ac:dyDescent="0.25">
      <c r="E34" s="66"/>
      <c r="F34" s="66"/>
    </row>
    <row r="35" spans="5:6" x14ac:dyDescent="0.25">
      <c r="E35" s="66"/>
      <c r="F35" s="66"/>
    </row>
    <row r="36" spans="5:6" x14ac:dyDescent="0.25">
      <c r="E36" s="66"/>
      <c r="F36" s="66"/>
    </row>
    <row r="37" spans="5:6" x14ac:dyDescent="0.25">
      <c r="E37" s="66"/>
      <c r="F37" s="66"/>
    </row>
    <row r="38" spans="5:6" x14ac:dyDescent="0.25">
      <c r="E38" s="66"/>
      <c r="F38" s="66"/>
    </row>
    <row r="39" spans="5:6" x14ac:dyDescent="0.25">
      <c r="E39" s="66"/>
      <c r="F39" s="66"/>
    </row>
    <row r="40" spans="5:6" x14ac:dyDescent="0.25">
      <c r="E40" s="66"/>
      <c r="F40" s="66"/>
    </row>
    <row r="41" spans="5:6" x14ac:dyDescent="0.25">
      <c r="E41" s="66"/>
      <c r="F41" s="66"/>
    </row>
    <row r="42" spans="5:6" x14ac:dyDescent="0.25">
      <c r="E42" s="66"/>
      <c r="F42" s="66"/>
    </row>
    <row r="43" spans="5:6" x14ac:dyDescent="0.25">
      <c r="E43" s="66"/>
      <c r="F43" s="66"/>
    </row>
    <row r="44" spans="5:6" x14ac:dyDescent="0.25">
      <c r="E44" s="66"/>
      <c r="F44" s="66"/>
    </row>
    <row r="45" spans="5:6" x14ac:dyDescent="0.25">
      <c r="E45" s="66"/>
      <c r="F45" s="66"/>
    </row>
    <row r="46" spans="5:6" x14ac:dyDescent="0.25">
      <c r="E46" s="66"/>
      <c r="F46" s="66"/>
    </row>
    <row r="47" spans="5:6" x14ac:dyDescent="0.25">
      <c r="E47" s="66"/>
      <c r="F47" s="66"/>
    </row>
    <row r="48" spans="5:6" x14ac:dyDescent="0.25">
      <c r="E48" s="66"/>
      <c r="F48" s="66"/>
    </row>
    <row r="49" spans="5:6" x14ac:dyDescent="0.25">
      <c r="E49" s="66"/>
      <c r="F49" s="66"/>
    </row>
    <row r="50" spans="5:6" x14ac:dyDescent="0.25">
      <c r="E50" s="66"/>
      <c r="F50" s="66"/>
    </row>
    <row r="51" spans="5:6" x14ac:dyDescent="0.25">
      <c r="E51" s="66"/>
      <c r="F51" s="66"/>
    </row>
    <row r="52" spans="5:6" x14ac:dyDescent="0.25">
      <c r="E52" s="66"/>
      <c r="F52" s="66"/>
    </row>
    <row r="53" spans="5:6" x14ac:dyDescent="0.25">
      <c r="E53" s="66"/>
      <c r="F53" s="66"/>
    </row>
    <row r="54" spans="5:6" x14ac:dyDescent="0.25">
      <c r="E54" s="66"/>
      <c r="F54" s="66"/>
    </row>
    <row r="55" spans="5:6" x14ac:dyDescent="0.25">
      <c r="E55" s="66"/>
      <c r="F55" s="66"/>
    </row>
    <row r="56" spans="5:6" x14ac:dyDescent="0.25">
      <c r="E56" s="66"/>
      <c r="F56" s="66"/>
    </row>
    <row r="57" spans="5:6" x14ac:dyDescent="0.25">
      <c r="E57" s="66"/>
      <c r="F57" s="66"/>
    </row>
    <row r="58" spans="5:6" x14ac:dyDescent="0.25">
      <c r="E58" s="66"/>
      <c r="F58" s="66"/>
    </row>
    <row r="59" spans="5:6" x14ac:dyDescent="0.25">
      <c r="E59" s="66"/>
      <c r="F59" s="66"/>
    </row>
    <row r="60" spans="5:6" x14ac:dyDescent="0.25">
      <c r="E60" s="66"/>
      <c r="F60" s="66"/>
    </row>
    <row r="61" spans="5:6" x14ac:dyDescent="0.25">
      <c r="E61" s="66"/>
      <c r="F61" s="66"/>
    </row>
    <row r="62" spans="5:6" x14ac:dyDescent="0.25">
      <c r="E62" s="66"/>
      <c r="F62" s="66"/>
    </row>
    <row r="63" spans="5:6" x14ac:dyDescent="0.25">
      <c r="E63" s="66"/>
      <c r="F63" s="66"/>
    </row>
    <row r="64" spans="5:6" x14ac:dyDescent="0.25">
      <c r="E64" s="66"/>
      <c r="F64" s="66"/>
    </row>
    <row r="65" spans="5:6" x14ac:dyDescent="0.25">
      <c r="E65" s="66"/>
      <c r="F65" s="66"/>
    </row>
    <row r="66" spans="5:6" x14ac:dyDescent="0.25">
      <c r="E66" s="66"/>
      <c r="F66" s="66"/>
    </row>
    <row r="67" spans="5:6" x14ac:dyDescent="0.25">
      <c r="E67" s="66"/>
      <c r="F67" s="66"/>
    </row>
    <row r="68" spans="5:6" x14ac:dyDescent="0.25">
      <c r="E68" s="66"/>
      <c r="F68" s="66"/>
    </row>
    <row r="69" spans="5:6" x14ac:dyDescent="0.25">
      <c r="E69" s="66"/>
      <c r="F69" s="66"/>
    </row>
    <row r="70" spans="5:6" x14ac:dyDescent="0.25">
      <c r="E70" s="66"/>
      <c r="F70" s="66"/>
    </row>
    <row r="71" spans="5:6" x14ac:dyDescent="0.25">
      <c r="E71" s="66"/>
      <c r="F71" s="66"/>
    </row>
    <row r="72" spans="5:6" x14ac:dyDescent="0.25">
      <c r="E72" s="66"/>
      <c r="F72" s="66"/>
    </row>
    <row r="73" spans="5:6" x14ac:dyDescent="0.25">
      <c r="E73" s="66"/>
      <c r="F73" s="66"/>
    </row>
    <row r="74" spans="5:6" x14ac:dyDescent="0.25">
      <c r="E74" s="66"/>
      <c r="F74" s="66"/>
    </row>
    <row r="75" spans="5:6" x14ac:dyDescent="0.25">
      <c r="E75" s="66"/>
      <c r="F75" s="66"/>
    </row>
    <row r="76" spans="5:6" x14ac:dyDescent="0.25">
      <c r="E76" s="66"/>
      <c r="F76" s="66"/>
    </row>
    <row r="77" spans="5:6" x14ac:dyDescent="0.25">
      <c r="E77" s="66"/>
      <c r="F77" s="66"/>
    </row>
    <row r="78" spans="5:6" x14ac:dyDescent="0.25">
      <c r="E78" s="66"/>
      <c r="F78" s="66"/>
    </row>
    <row r="79" spans="5:6" x14ac:dyDescent="0.25">
      <c r="E79" s="66"/>
      <c r="F79" s="66"/>
    </row>
  </sheetData>
  <autoFilter ref="A5:G16" xr:uid="{73045B39-590C-4B20-B2FA-3A2C26408FEA}"/>
  <mergeCells count="3">
    <mergeCell ref="C6:C8"/>
    <mergeCell ref="F7:F8"/>
    <mergeCell ref="E7:E8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BCC21-E219-45E9-996C-18E3FE3EAFAB}">
  <sheetPr codeName="Sheet9"/>
  <dimension ref="A2:G53"/>
  <sheetViews>
    <sheetView zoomScaleNormal="100" workbookViewId="0">
      <selection activeCell="D8" sqref="D8"/>
    </sheetView>
  </sheetViews>
  <sheetFormatPr defaultRowHeight="15" x14ac:dyDescent="0.25"/>
  <cols>
    <col min="1" max="1" width="20" customWidth="1"/>
    <col min="2" max="2" width="10.42578125" customWidth="1"/>
    <col min="3" max="3" width="52.5703125" customWidth="1"/>
    <col min="4" max="4" width="76.5703125" customWidth="1"/>
    <col min="5" max="5" width="14.5703125" customWidth="1"/>
    <col min="6" max="6" width="13.5703125" customWidth="1"/>
    <col min="7" max="7" width="61.42578125" customWidth="1"/>
  </cols>
  <sheetData>
    <row r="2" spans="1:7" ht="33" x14ac:dyDescent="0.6">
      <c r="A2" s="146" t="s">
        <v>260</v>
      </c>
      <c r="B2" s="1"/>
    </row>
    <row r="3" spans="1:7" ht="15.75" thickBot="1" x14ac:dyDescent="0.3"/>
    <row r="4" spans="1:7" ht="29.25" customHeight="1" thickTop="1" thickBot="1" x14ac:dyDescent="0.3">
      <c r="A4" s="129" t="s">
        <v>90</v>
      </c>
      <c r="B4" s="129" t="s">
        <v>91</v>
      </c>
      <c r="C4" s="130" t="s">
        <v>46</v>
      </c>
      <c r="D4" s="130" t="s">
        <v>92</v>
      </c>
      <c r="E4" s="130" t="s">
        <v>94</v>
      </c>
      <c r="F4" s="130" t="s">
        <v>95</v>
      </c>
      <c r="G4" s="131" t="s">
        <v>96</v>
      </c>
    </row>
    <row r="5" spans="1:7" ht="55.5" customHeight="1" thickTop="1" x14ac:dyDescent="0.25">
      <c r="A5" s="521" t="s">
        <v>98</v>
      </c>
      <c r="B5" s="49">
        <v>28</v>
      </c>
      <c r="C5" s="25" t="s">
        <v>182</v>
      </c>
      <c r="D5" s="19" t="s">
        <v>183</v>
      </c>
      <c r="E5" s="134" t="s">
        <v>128</v>
      </c>
      <c r="F5" s="76"/>
      <c r="G5" s="125" t="s">
        <v>184</v>
      </c>
    </row>
    <row r="6" spans="1:7" ht="63.75" customHeight="1" x14ac:dyDescent="0.25">
      <c r="A6" s="521"/>
      <c r="B6" s="49">
        <v>29</v>
      </c>
      <c r="C6" s="29" t="s">
        <v>185</v>
      </c>
      <c r="D6" s="30" t="s">
        <v>186</v>
      </c>
      <c r="E6" s="70" t="s">
        <v>128</v>
      </c>
      <c r="F6" s="71"/>
      <c r="G6" s="31" t="s">
        <v>184</v>
      </c>
    </row>
    <row r="7" spans="1:7" ht="73.5" customHeight="1" x14ac:dyDescent="0.25">
      <c r="A7" s="521"/>
      <c r="B7" s="49">
        <v>30</v>
      </c>
      <c r="C7" s="16" t="s">
        <v>187</v>
      </c>
      <c r="D7" s="17" t="s">
        <v>188</v>
      </c>
      <c r="E7" s="72" t="s">
        <v>128</v>
      </c>
      <c r="F7" s="71"/>
      <c r="G7" s="23" t="s">
        <v>189</v>
      </c>
    </row>
    <row r="8" spans="1:7" ht="41.25" customHeight="1" x14ac:dyDescent="0.25">
      <c r="A8" s="521"/>
      <c r="B8" s="49">
        <v>31</v>
      </c>
      <c r="C8" s="16" t="s">
        <v>190</v>
      </c>
      <c r="D8" s="17" t="s">
        <v>191</v>
      </c>
      <c r="E8" s="72" t="s">
        <v>128</v>
      </c>
      <c r="F8" s="71"/>
      <c r="G8" s="23" t="s">
        <v>192</v>
      </c>
    </row>
    <row r="9" spans="1:7" ht="57" customHeight="1" x14ac:dyDescent="0.25">
      <c r="A9" s="521"/>
      <c r="B9" s="49">
        <v>32</v>
      </c>
      <c r="C9" s="16" t="s">
        <v>193</v>
      </c>
      <c r="D9" s="17" t="s">
        <v>194</v>
      </c>
      <c r="E9" s="72" t="s">
        <v>128</v>
      </c>
      <c r="F9" s="71"/>
      <c r="G9" s="23" t="s">
        <v>195</v>
      </c>
    </row>
    <row r="10" spans="1:7" ht="42.75" customHeight="1" thickBot="1" x14ac:dyDescent="0.3">
      <c r="A10" s="521"/>
      <c r="B10" s="50">
        <v>33</v>
      </c>
      <c r="C10" s="32" t="s">
        <v>196</v>
      </c>
      <c r="D10" s="33" t="s">
        <v>197</v>
      </c>
      <c r="E10" s="73" t="s">
        <v>128</v>
      </c>
      <c r="F10" s="74"/>
      <c r="G10" s="27" t="s">
        <v>195</v>
      </c>
    </row>
    <row r="11" spans="1:7" ht="42.75" customHeight="1" thickTop="1" thickBot="1" x14ac:dyDescent="0.3">
      <c r="A11" s="520" t="s">
        <v>12</v>
      </c>
      <c r="B11" s="48">
        <v>34</v>
      </c>
      <c r="C11" s="14" t="s">
        <v>198</v>
      </c>
      <c r="D11" s="15" t="s">
        <v>199</v>
      </c>
      <c r="E11" s="69" t="s">
        <v>128</v>
      </c>
      <c r="F11" s="69" t="s">
        <v>128</v>
      </c>
      <c r="G11" s="190" t="s">
        <v>200</v>
      </c>
    </row>
    <row r="12" spans="1:7" ht="61.5" customHeight="1" thickTop="1" x14ac:dyDescent="0.25">
      <c r="A12" s="521"/>
      <c r="B12" s="49">
        <v>35</v>
      </c>
      <c r="C12" s="123" t="s">
        <v>201</v>
      </c>
      <c r="D12" s="124" t="s">
        <v>202</v>
      </c>
      <c r="E12" s="191" t="s">
        <v>128</v>
      </c>
      <c r="F12" s="191" t="s">
        <v>128</v>
      </c>
      <c r="G12" s="190" t="s">
        <v>200</v>
      </c>
    </row>
    <row r="13" spans="1:7" ht="118.5" customHeight="1" thickBot="1" x14ac:dyDescent="0.3">
      <c r="A13" s="522"/>
      <c r="B13" s="151">
        <v>36</v>
      </c>
      <c r="C13" s="152" t="s">
        <v>203</v>
      </c>
      <c r="D13" s="153" t="s">
        <v>204</v>
      </c>
      <c r="E13" s="154" t="s">
        <v>128</v>
      </c>
      <c r="F13" s="155"/>
      <c r="G13" s="156" t="s">
        <v>261</v>
      </c>
    </row>
    <row r="14" spans="1:7" ht="42" customHeight="1" thickTop="1" thickBot="1" x14ac:dyDescent="0.3">
      <c r="A14" s="223"/>
      <c r="B14" s="50">
        <v>37</v>
      </c>
      <c r="C14" s="12" t="s">
        <v>207</v>
      </c>
      <c r="D14" s="13" t="s">
        <v>208</v>
      </c>
      <c r="E14" s="75" t="s">
        <v>128</v>
      </c>
      <c r="F14" s="77"/>
      <c r="G14" s="34" t="s">
        <v>209</v>
      </c>
    </row>
    <row r="15" spans="1:7" ht="24" thickTop="1" x14ac:dyDescent="0.25">
      <c r="E15" s="66"/>
      <c r="F15" s="66"/>
      <c r="G15" s="10"/>
    </row>
    <row r="16" spans="1:7" ht="23.25" x14ac:dyDescent="0.25">
      <c r="E16" s="66"/>
      <c r="F16" s="66"/>
      <c r="G16" s="10"/>
    </row>
    <row r="17" spans="5:6" x14ac:dyDescent="0.25">
      <c r="E17" s="66"/>
      <c r="F17" s="66"/>
    </row>
    <row r="18" spans="5:6" x14ac:dyDescent="0.25">
      <c r="E18" s="66"/>
      <c r="F18" s="66"/>
    </row>
    <row r="19" spans="5:6" x14ac:dyDescent="0.25">
      <c r="E19" s="66"/>
      <c r="F19" s="66"/>
    </row>
    <row r="20" spans="5:6" x14ac:dyDescent="0.25">
      <c r="E20" s="66"/>
      <c r="F20" s="66"/>
    </row>
    <row r="21" spans="5:6" x14ac:dyDescent="0.25">
      <c r="E21" s="66"/>
      <c r="F21" s="66"/>
    </row>
    <row r="22" spans="5:6" x14ac:dyDescent="0.25">
      <c r="E22" s="66"/>
      <c r="F22" s="66"/>
    </row>
    <row r="23" spans="5:6" x14ac:dyDescent="0.25">
      <c r="E23" s="66"/>
      <c r="F23" s="66"/>
    </row>
    <row r="24" spans="5:6" x14ac:dyDescent="0.25">
      <c r="E24" s="66"/>
      <c r="F24" s="66"/>
    </row>
    <row r="25" spans="5:6" x14ac:dyDescent="0.25">
      <c r="E25" s="66"/>
      <c r="F25" s="66"/>
    </row>
    <row r="26" spans="5:6" x14ac:dyDescent="0.25">
      <c r="E26" s="66"/>
      <c r="F26" s="66"/>
    </row>
    <row r="27" spans="5:6" x14ac:dyDescent="0.25">
      <c r="E27" s="66"/>
      <c r="F27" s="66"/>
    </row>
    <row r="28" spans="5:6" x14ac:dyDescent="0.25">
      <c r="E28" s="66"/>
      <c r="F28" s="66"/>
    </row>
    <row r="29" spans="5:6" x14ac:dyDescent="0.25">
      <c r="E29" s="66"/>
      <c r="F29" s="66"/>
    </row>
    <row r="30" spans="5:6" x14ac:dyDescent="0.25">
      <c r="E30" s="66"/>
      <c r="F30" s="66"/>
    </row>
    <row r="31" spans="5:6" x14ac:dyDescent="0.25">
      <c r="E31" s="66"/>
      <c r="F31" s="66"/>
    </row>
    <row r="32" spans="5:6" x14ac:dyDescent="0.25">
      <c r="E32" s="66"/>
      <c r="F32" s="66"/>
    </row>
    <row r="33" spans="5:6" x14ac:dyDescent="0.25">
      <c r="E33" s="66"/>
      <c r="F33" s="66"/>
    </row>
    <row r="34" spans="5:6" x14ac:dyDescent="0.25">
      <c r="E34" s="66"/>
      <c r="F34" s="66"/>
    </row>
    <row r="35" spans="5:6" x14ac:dyDescent="0.25">
      <c r="E35" s="66"/>
      <c r="F35" s="66"/>
    </row>
    <row r="36" spans="5:6" x14ac:dyDescent="0.25">
      <c r="E36" s="66"/>
      <c r="F36" s="66"/>
    </row>
    <row r="37" spans="5:6" x14ac:dyDescent="0.25">
      <c r="E37" s="66"/>
      <c r="F37" s="66"/>
    </row>
    <row r="38" spans="5:6" x14ac:dyDescent="0.25">
      <c r="E38" s="66"/>
      <c r="F38" s="66"/>
    </row>
    <row r="39" spans="5:6" x14ac:dyDescent="0.25">
      <c r="E39" s="66"/>
      <c r="F39" s="66"/>
    </row>
    <row r="40" spans="5:6" x14ac:dyDescent="0.25">
      <c r="E40" s="66"/>
      <c r="F40" s="66"/>
    </row>
    <row r="41" spans="5:6" x14ac:dyDescent="0.25">
      <c r="E41" s="66"/>
      <c r="F41" s="66"/>
    </row>
    <row r="42" spans="5:6" x14ac:dyDescent="0.25">
      <c r="E42" s="66"/>
      <c r="F42" s="66"/>
    </row>
    <row r="43" spans="5:6" x14ac:dyDescent="0.25">
      <c r="E43" s="66"/>
      <c r="F43" s="66"/>
    </row>
    <row r="44" spans="5:6" x14ac:dyDescent="0.25">
      <c r="E44" s="66"/>
      <c r="F44" s="66"/>
    </row>
    <row r="45" spans="5:6" x14ac:dyDescent="0.25">
      <c r="E45" s="66"/>
      <c r="F45" s="66"/>
    </row>
    <row r="46" spans="5:6" x14ac:dyDescent="0.25">
      <c r="E46" s="66"/>
      <c r="F46" s="66"/>
    </row>
    <row r="47" spans="5:6" x14ac:dyDescent="0.25">
      <c r="E47" s="66"/>
      <c r="F47" s="66"/>
    </row>
    <row r="48" spans="5:6" x14ac:dyDescent="0.25">
      <c r="E48" s="66"/>
      <c r="F48" s="66"/>
    </row>
    <row r="49" spans="5:6" x14ac:dyDescent="0.25">
      <c r="E49" s="66"/>
      <c r="F49" s="66"/>
    </row>
    <row r="50" spans="5:6" x14ac:dyDescent="0.25">
      <c r="E50" s="66"/>
      <c r="F50" s="66"/>
    </row>
    <row r="51" spans="5:6" x14ac:dyDescent="0.25">
      <c r="E51" s="66"/>
      <c r="F51" s="66"/>
    </row>
    <row r="52" spans="5:6" x14ac:dyDescent="0.25">
      <c r="E52" s="66"/>
      <c r="F52" s="66"/>
    </row>
    <row r="53" spans="5:6" x14ac:dyDescent="0.25">
      <c r="E53" s="66"/>
      <c r="F53" s="66"/>
    </row>
  </sheetData>
  <autoFilter ref="A4:G14" xr:uid="{E22BCC21-E219-45E9-996C-18E3FE3EAFAB}"/>
  <mergeCells count="2">
    <mergeCell ref="A11:A13"/>
    <mergeCell ref="A5:A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90312-A90C-4A1F-9F7C-11E7E57C74EE}">
  <sheetPr codeName="Sheet10"/>
  <dimension ref="A2:G13"/>
  <sheetViews>
    <sheetView workbookViewId="0">
      <selection activeCell="C5" sqref="C5"/>
    </sheetView>
  </sheetViews>
  <sheetFormatPr defaultRowHeight="15" x14ac:dyDescent="0.25"/>
  <cols>
    <col min="3" max="3" width="48.5703125" customWidth="1"/>
    <col min="4" max="4" width="89.5703125" customWidth="1"/>
    <col min="5" max="6" width="10.5703125" customWidth="1"/>
    <col min="7" max="7" width="81.42578125" customWidth="1"/>
  </cols>
  <sheetData>
    <row r="2" spans="1:7" ht="39.75" x14ac:dyDescent="0.7">
      <c r="A2" s="147" t="s">
        <v>262</v>
      </c>
    </row>
    <row r="3" spans="1:7" ht="15.75" thickBot="1" x14ac:dyDescent="0.3"/>
    <row r="4" spans="1:7" ht="27.75" customHeight="1" thickTop="1" thickBot="1" x14ac:dyDescent="0.3">
      <c r="A4" s="129" t="s">
        <v>90</v>
      </c>
      <c r="B4" s="129" t="s">
        <v>263</v>
      </c>
      <c r="C4" s="130" t="s">
        <v>46</v>
      </c>
      <c r="D4" s="130" t="s">
        <v>92</v>
      </c>
      <c r="E4" s="130" t="s">
        <v>94</v>
      </c>
      <c r="F4" s="130" t="s">
        <v>95</v>
      </c>
      <c r="G4" s="131" t="s">
        <v>96</v>
      </c>
    </row>
    <row r="5" spans="1:7" ht="73.5" customHeight="1" thickTop="1" x14ac:dyDescent="0.25">
      <c r="A5" s="523" t="s">
        <v>210</v>
      </c>
      <c r="B5" s="49">
        <v>38</v>
      </c>
      <c r="C5" s="135" t="s">
        <v>211</v>
      </c>
      <c r="D5" s="136" t="s">
        <v>212</v>
      </c>
      <c r="E5" s="137" t="s">
        <v>128</v>
      </c>
      <c r="F5" s="297" t="s">
        <v>109</v>
      </c>
      <c r="G5" s="138" t="s">
        <v>213</v>
      </c>
    </row>
    <row r="6" spans="1:7" ht="54.75" customHeight="1" x14ac:dyDescent="0.25">
      <c r="A6" s="524"/>
      <c r="B6" s="49">
        <v>39</v>
      </c>
      <c r="C6" s="43" t="s">
        <v>214</v>
      </c>
      <c r="D6" s="36" t="s">
        <v>215</v>
      </c>
      <c r="E6" s="78" t="s">
        <v>128</v>
      </c>
      <c r="F6" s="78" t="s">
        <v>128</v>
      </c>
      <c r="G6" s="40" t="s">
        <v>216</v>
      </c>
    </row>
    <row r="7" spans="1:7" ht="66" customHeight="1" x14ac:dyDescent="0.25">
      <c r="A7" s="524"/>
      <c r="B7" s="49">
        <v>40</v>
      </c>
      <c r="C7" s="43" t="s">
        <v>217</v>
      </c>
      <c r="D7" s="36" t="s">
        <v>218</v>
      </c>
      <c r="E7" s="78" t="s">
        <v>128</v>
      </c>
      <c r="F7" s="78" t="s">
        <v>123</v>
      </c>
      <c r="G7" s="40" t="s">
        <v>219</v>
      </c>
    </row>
    <row r="8" spans="1:7" ht="46.5" customHeight="1" x14ac:dyDescent="0.25">
      <c r="A8" s="524"/>
      <c r="B8" s="49">
        <v>41</v>
      </c>
      <c r="C8" s="43" t="s">
        <v>220</v>
      </c>
      <c r="D8" s="36" t="s">
        <v>221</v>
      </c>
      <c r="E8" s="78" t="s">
        <v>128</v>
      </c>
      <c r="F8" s="78" t="s">
        <v>128</v>
      </c>
      <c r="G8" s="39" t="s">
        <v>264</v>
      </c>
    </row>
    <row r="9" spans="1:7" ht="51" customHeight="1" x14ac:dyDescent="0.25">
      <c r="A9" s="524"/>
      <c r="B9" s="49">
        <v>42</v>
      </c>
      <c r="C9" s="11" t="s">
        <v>223</v>
      </c>
      <c r="D9" s="35" t="s">
        <v>224</v>
      </c>
      <c r="E9" s="78" t="s">
        <v>128</v>
      </c>
      <c r="F9" s="78" t="s">
        <v>128</v>
      </c>
      <c r="G9" s="38" t="s">
        <v>225</v>
      </c>
    </row>
    <row r="10" spans="1:7" ht="47.25" customHeight="1" x14ac:dyDescent="0.25">
      <c r="A10" s="524"/>
      <c r="B10" s="49">
        <v>43</v>
      </c>
      <c r="C10" s="11" t="s">
        <v>226</v>
      </c>
      <c r="D10" s="35" t="s">
        <v>227</v>
      </c>
      <c r="E10" s="78" t="s">
        <v>128</v>
      </c>
      <c r="F10" s="78" t="s">
        <v>228</v>
      </c>
      <c r="G10" s="41"/>
    </row>
    <row r="11" spans="1:7" ht="52.5" customHeight="1" x14ac:dyDescent="0.25">
      <c r="A11" s="524"/>
      <c r="B11" s="49">
        <v>44</v>
      </c>
      <c r="C11" s="11" t="s">
        <v>229</v>
      </c>
      <c r="D11" s="35" t="s">
        <v>230</v>
      </c>
      <c r="E11" s="78" t="s">
        <v>128</v>
      </c>
      <c r="F11" s="78" t="s">
        <v>128</v>
      </c>
      <c r="G11" s="38" t="s">
        <v>231</v>
      </c>
    </row>
    <row r="12" spans="1:7" ht="58.5" customHeight="1" thickBot="1" x14ac:dyDescent="0.3">
      <c r="A12" s="522"/>
      <c r="B12" s="50">
        <v>45</v>
      </c>
      <c r="C12" s="44" t="s">
        <v>232</v>
      </c>
      <c r="D12" s="37" t="s">
        <v>233</v>
      </c>
      <c r="E12" s="79" t="s">
        <v>128</v>
      </c>
      <c r="F12" s="79" t="s">
        <v>128</v>
      </c>
      <c r="G12" s="42" t="s">
        <v>234</v>
      </c>
    </row>
    <row r="13" spans="1:7" ht="15.75" thickTop="1" x14ac:dyDescent="0.25"/>
  </sheetData>
  <autoFilter ref="A4:G4" xr:uid="{86190312-A90C-4A1F-9F7C-11E7E57C74EE}"/>
  <mergeCells count="1">
    <mergeCell ref="A5:A12"/>
  </mergeCells>
  <hyperlinks>
    <hyperlink ref="G5" r:id="rId1" display="https://dev.azure.com/ptbcp/IT.DIT/_workitems/edit/921359" xr:uid="{621FDF52-F4B0-4661-9BCC-28860F599DD8}"/>
    <hyperlink ref="G6" r:id="rId2" display="https://dev.azure.com/ptbcp/IT.DIT/_workitems/edit/962042" xr:uid="{2BCD314F-0A4F-4DD3-BA2D-5CC7B2C52B4A}"/>
    <hyperlink ref="G7" r:id="rId3" display="https://dev.azure.com/ptbcp/IT.DIT/_workitems/edit/926458" xr:uid="{46D46BC0-5C8F-41B9-B530-09F3686E7CEF}"/>
    <hyperlink ref="G9" r:id="rId4" display="https://dev.azure.com/ptbcp/IT.DIT/_workitems/edit/966231" xr:uid="{AF25A418-DBD3-4132-92A4-844013680AF3}"/>
    <hyperlink ref="G11" r:id="rId5" display="https://dev.azure.com/ptbcp/IT.DIT/_workitems/edit/973193" xr:uid="{6F6FA865-752F-4789-AA5E-FFCB08684464}"/>
    <hyperlink ref="G12" r:id="rId6" display="https://dev.azure.com/ptbcp/IT.DIT/_workitems/edit/973284" xr:uid="{E94B8178-066F-404C-B25F-933269929ED6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70273-10D8-496C-B8D0-39F613DB1962}">
  <sheetPr codeName="Sheet11"/>
  <dimension ref="A1:H53"/>
  <sheetViews>
    <sheetView topLeftCell="A19" zoomScale="60" zoomScaleNormal="60" workbookViewId="0">
      <selection activeCell="G7" sqref="G7"/>
    </sheetView>
  </sheetViews>
  <sheetFormatPr defaultRowHeight="15" x14ac:dyDescent="0.25"/>
  <cols>
    <col min="1" max="1" width="45.42578125" customWidth="1"/>
    <col min="2" max="2" width="14.5703125" customWidth="1"/>
    <col min="3" max="3" width="42" customWidth="1"/>
    <col min="4" max="4" width="53" customWidth="1"/>
    <col min="5" max="5" width="22.5703125" customWidth="1"/>
    <col min="6" max="6" width="31" customWidth="1"/>
    <col min="7" max="7" width="162.42578125" customWidth="1"/>
    <col min="8" max="8" width="23.5703125" customWidth="1"/>
  </cols>
  <sheetData>
    <row r="1" spans="1:8" ht="29.25" customHeight="1" x14ac:dyDescent="0.25"/>
    <row r="2" spans="1:8" ht="63.75" customHeight="1" x14ac:dyDescent="0.95">
      <c r="A2" s="139" t="s">
        <v>265</v>
      </c>
    </row>
    <row r="3" spans="1:8" ht="20.25" customHeight="1" thickBot="1" x14ac:dyDescent="0.3"/>
    <row r="4" spans="1:8" ht="39" customHeight="1" thickTop="1" thickBot="1" x14ac:dyDescent="0.3">
      <c r="A4" s="143" t="s">
        <v>266</v>
      </c>
      <c r="B4" s="143" t="s">
        <v>267</v>
      </c>
      <c r="C4" s="143" t="s">
        <v>268</v>
      </c>
      <c r="D4" s="143" t="s">
        <v>269</v>
      </c>
      <c r="E4" s="143" t="s">
        <v>270</v>
      </c>
      <c r="F4" s="143" t="s">
        <v>271</v>
      </c>
      <c r="G4" s="143" t="s">
        <v>92</v>
      </c>
      <c r="H4" s="143" t="s">
        <v>272</v>
      </c>
    </row>
    <row r="5" spans="1:8" ht="38.1" customHeight="1" thickTop="1" x14ac:dyDescent="0.25">
      <c r="A5" s="565" t="s">
        <v>273</v>
      </c>
      <c r="B5" s="551">
        <v>0.6</v>
      </c>
      <c r="C5" s="140" t="s">
        <v>37</v>
      </c>
      <c r="D5" s="243" t="s">
        <v>274</v>
      </c>
      <c r="E5" s="244" t="s">
        <v>275</v>
      </c>
      <c r="F5" s="148" t="s">
        <v>128</v>
      </c>
      <c r="G5" s="141" t="s">
        <v>276</v>
      </c>
      <c r="H5" s="142" t="s">
        <v>277</v>
      </c>
    </row>
    <row r="6" spans="1:8" ht="38.1" customHeight="1" x14ac:dyDescent="0.25">
      <c r="A6" s="566"/>
      <c r="B6" s="552"/>
      <c r="C6" s="108" t="s">
        <v>278</v>
      </c>
      <c r="D6" s="227"/>
      <c r="E6" s="227"/>
      <c r="F6" s="227"/>
      <c r="G6" s="109" t="s">
        <v>279</v>
      </c>
      <c r="H6" s="110" t="s">
        <v>277</v>
      </c>
    </row>
    <row r="7" spans="1:8" ht="38.1" customHeight="1" x14ac:dyDescent="0.25">
      <c r="A7" s="566"/>
      <c r="B7" s="552"/>
      <c r="C7" s="108" t="s">
        <v>280</v>
      </c>
      <c r="D7" s="227" t="s">
        <v>281</v>
      </c>
      <c r="E7" s="227" t="s">
        <v>282</v>
      </c>
      <c r="F7" s="227"/>
      <c r="G7" s="241" t="s">
        <v>283</v>
      </c>
      <c r="H7" s="226" t="s">
        <v>284</v>
      </c>
    </row>
    <row r="8" spans="1:8" ht="38.1" customHeight="1" x14ac:dyDescent="0.25">
      <c r="A8" s="566"/>
      <c r="B8" s="552"/>
      <c r="C8" s="257" t="s">
        <v>38</v>
      </c>
      <c r="D8" s="245" t="s">
        <v>274</v>
      </c>
      <c r="E8" s="246" t="s">
        <v>275</v>
      </c>
      <c r="F8" s="149" t="s">
        <v>363</v>
      </c>
      <c r="G8" s="109" t="s">
        <v>285</v>
      </c>
      <c r="H8" s="110" t="s">
        <v>277</v>
      </c>
    </row>
    <row r="9" spans="1:8" ht="38.1" customHeight="1" x14ac:dyDescent="0.25">
      <c r="A9" s="566"/>
      <c r="B9" s="552"/>
      <c r="C9" s="527" t="s">
        <v>286</v>
      </c>
      <c r="D9" s="530" t="s">
        <v>274</v>
      </c>
      <c r="E9" s="246"/>
      <c r="F9" s="149"/>
      <c r="G9" s="109" t="s">
        <v>287</v>
      </c>
      <c r="H9" s="110"/>
    </row>
    <row r="10" spans="1:8" ht="38.1" customHeight="1" x14ac:dyDescent="0.25">
      <c r="A10" s="566"/>
      <c r="B10" s="552"/>
      <c r="C10" s="528"/>
      <c r="D10" s="531"/>
      <c r="E10" s="246"/>
      <c r="F10" s="149"/>
      <c r="G10" s="109" t="s">
        <v>288</v>
      </c>
      <c r="H10" s="110"/>
    </row>
    <row r="11" spans="1:8" ht="38.1" customHeight="1" x14ac:dyDescent="0.25">
      <c r="A11" s="566"/>
      <c r="B11" s="552"/>
      <c r="C11" s="528"/>
      <c r="D11" s="531"/>
      <c r="E11" s="246"/>
      <c r="F11" s="149"/>
      <c r="G11" s="109" t="s">
        <v>289</v>
      </c>
      <c r="H11" s="110"/>
    </row>
    <row r="12" spans="1:8" ht="38.1" customHeight="1" x14ac:dyDescent="0.25">
      <c r="A12" s="566"/>
      <c r="B12" s="552"/>
      <c r="C12" s="529"/>
      <c r="D12" s="532"/>
      <c r="E12" s="246" t="s">
        <v>290</v>
      </c>
      <c r="F12" s="242">
        <v>46111</v>
      </c>
      <c r="G12" s="109" t="s">
        <v>515</v>
      </c>
      <c r="H12" s="110" t="s">
        <v>277</v>
      </c>
    </row>
    <row r="13" spans="1:8" ht="38.1" customHeight="1" thickBot="1" x14ac:dyDescent="0.3">
      <c r="A13" s="567"/>
      <c r="B13" s="553"/>
      <c r="C13" s="258" t="s">
        <v>39</v>
      </c>
      <c r="D13" s="247" t="s">
        <v>514</v>
      </c>
      <c r="E13" s="247" t="s">
        <v>291</v>
      </c>
      <c r="F13" s="228">
        <v>46052</v>
      </c>
      <c r="G13" s="111" t="s">
        <v>292</v>
      </c>
      <c r="H13" s="112" t="s">
        <v>277</v>
      </c>
    </row>
    <row r="14" spans="1:8" ht="38.1" customHeight="1" thickTop="1" x14ac:dyDescent="0.25">
      <c r="A14" s="568" t="s">
        <v>293</v>
      </c>
      <c r="B14" s="554">
        <v>0.35</v>
      </c>
      <c r="C14" s="106" t="s">
        <v>294</v>
      </c>
      <c r="D14" s="229"/>
      <c r="E14" s="229"/>
      <c r="F14" s="229"/>
      <c r="G14" s="107" t="s">
        <v>295</v>
      </c>
      <c r="H14" s="113" t="s">
        <v>296</v>
      </c>
    </row>
    <row r="15" spans="1:8" ht="38.1" customHeight="1" x14ac:dyDescent="0.25">
      <c r="A15" s="568"/>
      <c r="B15" s="554"/>
      <c r="C15" s="96" t="s">
        <v>297</v>
      </c>
      <c r="D15" s="227" t="s">
        <v>281</v>
      </c>
      <c r="E15" s="227" t="s">
        <v>282</v>
      </c>
      <c r="F15" s="231">
        <v>46096</v>
      </c>
      <c r="G15" s="87" t="s">
        <v>298</v>
      </c>
      <c r="H15" s="114" t="s">
        <v>299</v>
      </c>
    </row>
    <row r="16" spans="1:8" ht="38.1" customHeight="1" x14ac:dyDescent="0.25">
      <c r="A16" s="568"/>
      <c r="B16" s="554"/>
      <c r="C16" s="533" t="s">
        <v>300</v>
      </c>
      <c r="D16" s="535" t="s">
        <v>274</v>
      </c>
      <c r="E16" s="537" t="s">
        <v>307</v>
      </c>
      <c r="F16" s="230"/>
      <c r="G16" s="107" t="s">
        <v>302</v>
      </c>
      <c r="H16" s="115" t="s">
        <v>296</v>
      </c>
    </row>
    <row r="17" spans="1:8" ht="38.1" customHeight="1" x14ac:dyDescent="0.25">
      <c r="A17" s="568"/>
      <c r="B17" s="554"/>
      <c r="C17" s="534"/>
      <c r="D17" s="536"/>
      <c r="E17" s="538"/>
      <c r="F17" s="230"/>
      <c r="G17" s="107" t="s">
        <v>303</v>
      </c>
      <c r="H17" s="115" t="s">
        <v>296</v>
      </c>
    </row>
    <row r="18" spans="1:8" ht="38.1" customHeight="1" x14ac:dyDescent="0.25">
      <c r="A18" s="568"/>
      <c r="B18" s="554"/>
      <c r="C18" s="97" t="s">
        <v>40</v>
      </c>
      <c r="D18" s="248" t="s">
        <v>274</v>
      </c>
      <c r="E18" s="249" t="s">
        <v>291</v>
      </c>
      <c r="F18" s="231">
        <v>46096</v>
      </c>
      <c r="G18" s="87" t="s">
        <v>304</v>
      </c>
      <c r="H18" s="105" t="s">
        <v>277</v>
      </c>
    </row>
    <row r="19" spans="1:8" ht="38.1" customHeight="1" x14ac:dyDescent="0.25">
      <c r="A19" s="568"/>
      <c r="B19" s="554"/>
      <c r="C19" s="96" t="s">
        <v>305</v>
      </c>
      <c r="D19" s="230"/>
      <c r="E19" s="234"/>
      <c r="F19" s="234"/>
      <c r="G19" s="87" t="s">
        <v>306</v>
      </c>
      <c r="H19" s="105" t="s">
        <v>277</v>
      </c>
    </row>
    <row r="20" spans="1:8" ht="38.1" customHeight="1" thickBot="1" x14ac:dyDescent="0.3">
      <c r="A20" s="568"/>
      <c r="B20" s="554"/>
      <c r="C20" s="539" t="s">
        <v>41</v>
      </c>
      <c r="D20" s="259" t="s">
        <v>274</v>
      </c>
      <c r="E20" s="265" t="s">
        <v>307</v>
      </c>
      <c r="F20" s="264">
        <v>46096</v>
      </c>
      <c r="G20" s="260" t="s">
        <v>308</v>
      </c>
      <c r="H20" s="116" t="s">
        <v>296</v>
      </c>
    </row>
    <row r="21" spans="1:8" ht="38.1" customHeight="1" thickTop="1" thickBot="1" x14ac:dyDescent="0.3">
      <c r="A21" s="568"/>
      <c r="B21" s="554"/>
      <c r="C21" s="540"/>
      <c r="D21" s="234"/>
      <c r="E21" s="236"/>
      <c r="F21" s="236"/>
      <c r="G21" s="87" t="s">
        <v>309</v>
      </c>
      <c r="H21" s="116" t="s">
        <v>296</v>
      </c>
    </row>
    <row r="22" spans="1:8" ht="38.1" customHeight="1" thickTop="1" thickBot="1" x14ac:dyDescent="0.3">
      <c r="A22" s="569"/>
      <c r="B22" s="555"/>
      <c r="C22" s="541"/>
      <c r="D22" s="250"/>
      <c r="E22" s="237"/>
      <c r="F22" s="232"/>
      <c r="G22" s="87" t="s">
        <v>310</v>
      </c>
      <c r="H22" s="116" t="s">
        <v>296</v>
      </c>
    </row>
    <row r="23" spans="1:8" ht="70.349999999999994" customHeight="1" thickTop="1" x14ac:dyDescent="0.25">
      <c r="A23" s="548" t="s">
        <v>311</v>
      </c>
      <c r="B23" s="556">
        <v>0.33</v>
      </c>
      <c r="C23" s="86" t="s">
        <v>312</v>
      </c>
      <c r="D23" s="233"/>
      <c r="E23" s="233"/>
      <c r="F23" s="233"/>
      <c r="G23" s="85" t="s">
        <v>313</v>
      </c>
      <c r="H23" s="113" t="s">
        <v>296</v>
      </c>
    </row>
    <row r="24" spans="1:8" ht="38.1" customHeight="1" x14ac:dyDescent="0.25">
      <c r="A24" s="549"/>
      <c r="B24" s="557"/>
      <c r="C24" s="96" t="s">
        <v>314</v>
      </c>
      <c r="D24" s="230"/>
      <c r="E24" s="230"/>
      <c r="F24" s="230"/>
      <c r="G24" s="87" t="s">
        <v>315</v>
      </c>
      <c r="H24" s="115" t="s">
        <v>296</v>
      </c>
    </row>
    <row r="25" spans="1:8" ht="38.1" customHeight="1" thickBot="1" x14ac:dyDescent="0.3">
      <c r="A25" s="550"/>
      <c r="B25" s="558"/>
      <c r="C25" s="98" t="s">
        <v>316</v>
      </c>
      <c r="D25" s="234"/>
      <c r="E25" s="234"/>
      <c r="F25" s="234"/>
      <c r="G25" s="90" t="s">
        <v>317</v>
      </c>
      <c r="H25" s="117" t="s">
        <v>277</v>
      </c>
    </row>
    <row r="26" spans="1:8" ht="38.1" customHeight="1" thickTop="1" x14ac:dyDescent="0.25">
      <c r="A26" s="548" t="s">
        <v>318</v>
      </c>
      <c r="B26" s="559">
        <v>0.28999999999999998</v>
      </c>
      <c r="C26" s="99" t="s">
        <v>319</v>
      </c>
      <c r="D26" s="251" t="s">
        <v>274</v>
      </c>
      <c r="E26" s="252" t="s">
        <v>320</v>
      </c>
      <c r="F26" s="235">
        <v>46052</v>
      </c>
      <c r="G26" s="88"/>
      <c r="H26" s="115" t="s">
        <v>296</v>
      </c>
    </row>
    <row r="27" spans="1:8" ht="38.1" customHeight="1" x14ac:dyDescent="0.25">
      <c r="A27" s="549"/>
      <c r="B27" s="560"/>
      <c r="C27" s="217" t="s">
        <v>321</v>
      </c>
      <c r="D27" s="253" t="s">
        <v>274</v>
      </c>
      <c r="E27" s="254" t="s">
        <v>320</v>
      </c>
      <c r="F27" s="231">
        <v>46052</v>
      </c>
      <c r="G27" s="218"/>
      <c r="H27" s="114" t="s">
        <v>299</v>
      </c>
    </row>
    <row r="28" spans="1:8" ht="38.1" customHeight="1" x14ac:dyDescent="0.25">
      <c r="A28" s="549"/>
      <c r="B28" s="560"/>
      <c r="C28" s="97" t="s">
        <v>43</v>
      </c>
      <c r="D28" s="248" t="s">
        <v>274</v>
      </c>
      <c r="E28" s="249" t="s">
        <v>307</v>
      </c>
      <c r="F28" s="231">
        <v>46096</v>
      </c>
      <c r="G28" s="87" t="s">
        <v>322</v>
      </c>
      <c r="H28" s="114" t="s">
        <v>299</v>
      </c>
    </row>
    <row r="29" spans="1:8" ht="38.1" customHeight="1" thickBot="1" x14ac:dyDescent="0.3">
      <c r="A29" s="549"/>
      <c r="B29" s="560"/>
      <c r="C29" s="98" t="s">
        <v>323</v>
      </c>
      <c r="D29" s="234"/>
      <c r="E29" s="234"/>
      <c r="F29" s="234"/>
      <c r="G29" s="219" t="s">
        <v>324</v>
      </c>
      <c r="H29" s="115" t="s">
        <v>296</v>
      </c>
    </row>
    <row r="30" spans="1:8" ht="38.1" customHeight="1" thickTop="1" x14ac:dyDescent="0.25">
      <c r="A30" s="548" t="s">
        <v>325</v>
      </c>
      <c r="B30" s="561"/>
      <c r="C30" s="224" t="s">
        <v>326</v>
      </c>
      <c r="D30" s="262" t="s">
        <v>327</v>
      </c>
      <c r="E30" s="233"/>
      <c r="F30" s="233"/>
      <c r="G30" s="88"/>
      <c r="H30" s="118"/>
    </row>
    <row r="31" spans="1:8" ht="38.1" customHeight="1" thickBot="1" x14ac:dyDescent="0.3">
      <c r="A31" s="549"/>
      <c r="B31" s="562"/>
      <c r="C31" s="96" t="s">
        <v>328</v>
      </c>
      <c r="D31" s="249" t="s">
        <v>327</v>
      </c>
      <c r="E31" s="236"/>
      <c r="F31" s="236"/>
      <c r="G31" s="220"/>
      <c r="H31" s="221"/>
    </row>
    <row r="32" spans="1:8" ht="38.1" customHeight="1" thickTop="1" thickBot="1" x14ac:dyDescent="0.3">
      <c r="A32" s="550"/>
      <c r="B32" s="563"/>
      <c r="C32" s="225" t="s">
        <v>329</v>
      </c>
      <c r="D32" s="263" t="s">
        <v>327</v>
      </c>
      <c r="E32" s="237"/>
      <c r="F32" s="237"/>
      <c r="G32" s="91" t="s">
        <v>330</v>
      </c>
      <c r="H32" s="119"/>
    </row>
    <row r="33" spans="1:8" ht="38.1" customHeight="1" thickTop="1" thickBot="1" x14ac:dyDescent="0.3">
      <c r="A33" s="104" t="s">
        <v>331</v>
      </c>
      <c r="B33" s="84"/>
      <c r="C33" s="225" t="s">
        <v>332</v>
      </c>
      <c r="D33" s="261"/>
      <c r="E33" s="261"/>
      <c r="F33" s="261"/>
      <c r="G33" s="91" t="s">
        <v>333</v>
      </c>
      <c r="H33" s="120"/>
    </row>
    <row r="34" spans="1:8" ht="38.1" customHeight="1" thickTop="1" thickBot="1" x14ac:dyDescent="0.3">
      <c r="A34" s="548" t="s">
        <v>334</v>
      </c>
      <c r="B34" s="559">
        <v>0.75</v>
      </c>
      <c r="C34" s="101" t="s">
        <v>335</v>
      </c>
      <c r="D34" s="238"/>
      <c r="E34" s="238"/>
      <c r="F34" s="238"/>
      <c r="G34" s="92" t="s">
        <v>336</v>
      </c>
      <c r="H34" s="122" t="s">
        <v>299</v>
      </c>
    </row>
    <row r="35" spans="1:8" ht="38.1" customHeight="1" thickTop="1" x14ac:dyDescent="0.25">
      <c r="A35" s="549"/>
      <c r="B35" s="560"/>
      <c r="C35" s="102" t="s">
        <v>337</v>
      </c>
      <c r="D35" s="239"/>
      <c r="E35" s="239"/>
      <c r="F35" s="239"/>
      <c r="G35" s="93" t="s">
        <v>338</v>
      </c>
      <c r="H35" s="105" t="s">
        <v>277</v>
      </c>
    </row>
    <row r="36" spans="1:8" ht="38.1" customHeight="1" x14ac:dyDescent="0.25">
      <c r="A36" s="549"/>
      <c r="B36" s="560"/>
      <c r="C36" s="102" t="s">
        <v>339</v>
      </c>
      <c r="D36" s="239"/>
      <c r="E36" s="239"/>
      <c r="F36" s="239"/>
      <c r="G36" s="93" t="s">
        <v>340</v>
      </c>
      <c r="H36" s="115" t="s">
        <v>296</v>
      </c>
    </row>
    <row r="37" spans="1:8" ht="38.1" customHeight="1" thickBot="1" x14ac:dyDescent="0.3">
      <c r="A37" s="550"/>
      <c r="B37" s="564"/>
      <c r="C37" s="103" t="s">
        <v>341</v>
      </c>
      <c r="D37" s="240"/>
      <c r="E37" s="239"/>
      <c r="F37" s="240"/>
      <c r="G37" s="94" t="s">
        <v>342</v>
      </c>
      <c r="H37" s="122" t="s">
        <v>299</v>
      </c>
    </row>
    <row r="38" spans="1:8" ht="38.1" customHeight="1" thickTop="1" x14ac:dyDescent="0.25">
      <c r="A38" s="548" t="s">
        <v>343</v>
      </c>
      <c r="B38" s="559">
        <v>1</v>
      </c>
      <c r="C38" s="542" t="s">
        <v>344</v>
      </c>
      <c r="D38" s="544"/>
      <c r="E38" s="544"/>
      <c r="F38" s="544"/>
      <c r="G38" s="546" t="s">
        <v>345</v>
      </c>
      <c r="H38" s="525" t="s">
        <v>277</v>
      </c>
    </row>
    <row r="39" spans="1:8" ht="38.1" customHeight="1" thickBot="1" x14ac:dyDescent="0.3">
      <c r="A39" s="550"/>
      <c r="B39" s="564"/>
      <c r="C39" s="543"/>
      <c r="D39" s="545"/>
      <c r="E39" s="545"/>
      <c r="F39" s="545"/>
      <c r="G39" s="547"/>
      <c r="H39" s="526"/>
    </row>
    <row r="40" spans="1:8" ht="38.1" customHeight="1" thickTop="1" x14ac:dyDescent="0.25">
      <c r="A40" s="548" t="s">
        <v>346</v>
      </c>
      <c r="B40" s="559">
        <v>0.67</v>
      </c>
      <c r="C40" s="86" t="s">
        <v>347</v>
      </c>
      <c r="D40" s="251" t="s">
        <v>274</v>
      </c>
      <c r="E40" s="252" t="s">
        <v>301</v>
      </c>
      <c r="F40" s="233"/>
      <c r="G40" s="85" t="s">
        <v>348</v>
      </c>
      <c r="H40" s="121" t="s">
        <v>277</v>
      </c>
    </row>
    <row r="41" spans="1:8" ht="38.1" customHeight="1" x14ac:dyDescent="0.25">
      <c r="A41" s="549"/>
      <c r="B41" s="560"/>
      <c r="C41" s="97" t="s">
        <v>349</v>
      </c>
      <c r="D41" s="255" t="s">
        <v>274</v>
      </c>
      <c r="E41" s="249" t="s">
        <v>301</v>
      </c>
      <c r="F41" s="230"/>
      <c r="G41" s="87" t="s">
        <v>350</v>
      </c>
      <c r="H41" s="81" t="s">
        <v>277</v>
      </c>
    </row>
    <row r="42" spans="1:8" ht="38.1" customHeight="1" x14ac:dyDescent="0.25">
      <c r="A42" s="549"/>
      <c r="B42" s="560"/>
      <c r="C42" s="97" t="s">
        <v>351</v>
      </c>
      <c r="D42" s="255" t="s">
        <v>274</v>
      </c>
      <c r="E42" s="249" t="s">
        <v>301</v>
      </c>
      <c r="F42" s="230"/>
      <c r="G42" s="87" t="s">
        <v>352</v>
      </c>
      <c r="H42" s="82"/>
    </row>
    <row r="43" spans="1:8" ht="38.1" customHeight="1" thickBot="1" x14ac:dyDescent="0.3">
      <c r="A43" s="550"/>
      <c r="B43" s="564"/>
      <c r="C43" s="100" t="s">
        <v>316</v>
      </c>
      <c r="D43" s="256" t="s">
        <v>274</v>
      </c>
      <c r="E43" s="250" t="s">
        <v>301</v>
      </c>
      <c r="F43" s="237"/>
      <c r="G43" s="89"/>
      <c r="H43" s="83"/>
    </row>
    <row r="44" spans="1:8" ht="16.5" thickTop="1" x14ac:dyDescent="0.25">
      <c r="D44" s="95"/>
      <c r="E44" s="95"/>
      <c r="F44" s="95"/>
      <c r="G44" s="95"/>
    </row>
    <row r="52" spans="6:6" x14ac:dyDescent="0.25">
      <c r="F52">
        <v>5</v>
      </c>
    </row>
    <row r="53" spans="6:6" x14ac:dyDescent="0.25">
      <c r="F53">
        <v>15</v>
      </c>
    </row>
  </sheetData>
  <autoFilter ref="A4:H4" xr:uid="{5B270273-10D8-496C-B8D0-39F613DB1962}"/>
  <mergeCells count="28">
    <mergeCell ref="A40:A43"/>
    <mergeCell ref="B5:B13"/>
    <mergeCell ref="B14:B22"/>
    <mergeCell ref="B23:B25"/>
    <mergeCell ref="B26:B29"/>
    <mergeCell ref="B30:B32"/>
    <mergeCell ref="B34:B37"/>
    <mergeCell ref="B38:B39"/>
    <mergeCell ref="B40:B43"/>
    <mergeCell ref="A5:A13"/>
    <mergeCell ref="A14:A22"/>
    <mergeCell ref="A23:A25"/>
    <mergeCell ref="A26:A29"/>
    <mergeCell ref="A34:A37"/>
    <mergeCell ref="A38:A39"/>
    <mergeCell ref="A30:A32"/>
    <mergeCell ref="H38:H39"/>
    <mergeCell ref="C9:C12"/>
    <mergeCell ref="D9:D12"/>
    <mergeCell ref="C16:C17"/>
    <mergeCell ref="D16:D17"/>
    <mergeCell ref="E16:E17"/>
    <mergeCell ref="C20:C22"/>
    <mergeCell ref="C38:C39"/>
    <mergeCell ref="D38:D39"/>
    <mergeCell ref="E38:E39"/>
    <mergeCell ref="F38:F39"/>
    <mergeCell ref="G38:G39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G35"/>
  <sheetViews>
    <sheetView showGridLines="0" workbookViewId="0">
      <pane xSplit="6" ySplit="4" topLeftCell="G5" activePane="bottomRight" state="frozen"/>
      <selection pane="bottomRight" activeCell="G5" sqref="G5"/>
    </sheetView>
  </sheetViews>
  <sheetFormatPr defaultRowHeight="15"/>
  <cols>
    <col min="1" max="1" width="34" customWidth="1"/>
    <col min="2" max="2" width="14" customWidth="1"/>
    <col min="3" max="3" width="24" customWidth="1"/>
    <col min="4" max="4" width="24" customWidth="1"/>
    <col min="5" max="5" width="16" customWidth="1"/>
    <col min="6" max="6" width="26" customWidth="1"/>
    <col min="7" max="59" width="3.6" customWidth="1"/>
  </cols>
  <sheetData>
    <row r="1" ht="30" customHeight="1" spans="1:59">
      <c r="A1" s="570" t="inlineStr">
        <is>
          <t xml:space="preserve">Calendário IT — Plano de Desenvolvimentos 2026</t>
        </is>
      </c>
      <c r="G1" s="571" t="inlineStr">
        <is>
          <t xml:space="preserve">Versão semanal (W01–W53) · dados da calendarização original · Semana atual: W25</t>
        </is>
      </c>
    </row>
    <row r="2" ht="20" customHeight="1" spans="1:59">
      <c r="A2" s="578" t="inlineStr">
        <is>
          <t xml:space="preserve">Legenda (fase):</t>
        </is>
      </c>
      <c r="G2" s="580"/>
      <c r="H2" s="578" t="inlineStr">
        <is>
          <t xml:space="preserve">Em Research</t>
        </is>
      </c>
      <c r="K2" s="581"/>
      <c r="L2" s="578" t="inlineStr">
        <is>
          <t xml:space="preserve">Em Escrita</t>
        </is>
      </c>
      <c r="O2" s="582"/>
      <c r="P2" s="578" t="inlineStr">
        <is>
          <t xml:space="preserve">User Stories</t>
        </is>
      </c>
      <c r="S2" s="583"/>
      <c r="T2" s="578" t="inlineStr">
        <is>
          <t xml:space="preserve">User Stories Escritas</t>
        </is>
      </c>
      <c r="W2" s="584"/>
      <c r="X2" s="578" t="inlineStr">
        <is>
          <t xml:space="preserve">Em Design (Bliss)</t>
        </is>
      </c>
      <c r="AA2" s="585"/>
      <c r="AB2" s="578" t="inlineStr">
        <is>
          <t xml:space="preserve">Desenvolvimento IT</t>
        </is>
      </c>
      <c r="AE2" s="586"/>
      <c r="AF2" s="578" t="inlineStr">
        <is>
          <t xml:space="preserve">Certificação</t>
        </is>
      </c>
      <c r="AI2" s="587"/>
      <c r="AJ2" s="578" t="inlineStr">
        <is>
          <t xml:space="preserve">Produção</t>
        </is>
      </c>
      <c r="AM2" s="575"/>
      <c r="AN2" s="578" t="inlineStr">
        <is>
          <t xml:space="preserve">Semana atual</t>
        </is>
      </c>
    </row>
    <row r="3" ht="16" customHeight="1" spans="1:59">
      <c r="A3" s="572" t="inlineStr">
        <is>
          <t xml:space="preserve">Projeto</t>
        </is>
      </c>
      <c r="B3" s="572" t="inlineStr">
        <is>
          <t xml:space="preserve">PO</t>
        </is>
      </c>
      <c r="C3" s="572" t="inlineStr">
        <is>
          <t xml:space="preserve">Stakeholders (ex. DMPA, DTO…)</t>
        </is>
      </c>
      <c r="D3" s="572" t="inlineStr">
        <is>
          <t xml:space="preserve">Descrição do âmbito</t>
        </is>
      </c>
      <c r="E3" s="572" t="inlineStr">
        <is>
          <t xml:space="preserve">Data passagem a produção</t>
        </is>
      </c>
      <c r="F3" s="572" t="inlineStr">
        <is>
          <t xml:space="preserve">Comentário / PdS da semana</t>
        </is>
      </c>
      <c r="G3" s="573" t="inlineStr">
        <is>
          <t xml:space="preserve">Janeiro</t>
        </is>
      </c>
      <c r="L3" s="573" t="inlineStr">
        <is>
          <t xml:space="preserve">Fevereiro</t>
        </is>
      </c>
      <c r="P3" s="573" t="inlineStr">
        <is>
          <t xml:space="preserve">Março</t>
        </is>
      </c>
      <c r="T3" s="573" t="inlineStr">
        <is>
          <t xml:space="preserve">Abril</t>
        </is>
      </c>
      <c r="Y3" s="573" t="inlineStr">
        <is>
          <t xml:space="preserve">Maio</t>
        </is>
      </c>
      <c r="AC3" s="573" t="inlineStr">
        <is>
          <t xml:space="preserve">Junho</t>
        </is>
      </c>
      <c r="AG3" s="573" t="inlineStr">
        <is>
          <t xml:space="preserve">Julho</t>
        </is>
      </c>
      <c r="AL3" s="573" t="inlineStr">
        <is>
          <t xml:space="preserve">Agosto</t>
        </is>
      </c>
      <c r="AP3" s="573" t="inlineStr">
        <is>
          <t xml:space="preserve">Setembro</t>
        </is>
      </c>
      <c r="AT3" s="573" t="inlineStr">
        <is>
          <t xml:space="preserve">Outubro</t>
        </is>
      </c>
      <c r="AY3" s="573" t="inlineStr">
        <is>
          <t xml:space="preserve">Novembro</t>
        </is>
      </c>
      <c r="BC3" s="573" t="inlineStr">
        <is>
          <t xml:space="preserve">Dezembro</t>
        </is>
      </c>
    </row>
    <row r="4" ht="34" customHeight="1" spans="1:59">
      <c r="G4" s="574" t="inlineStr">
        <is>
          <t xml:space="preserve">W01</t>
        </is>
      </c>
      <c r="H4" s="574" t="inlineStr">
        <is>
          <t xml:space="preserve">W02</t>
        </is>
      </c>
      <c r="I4" s="574" t="inlineStr">
        <is>
          <t xml:space="preserve">W03</t>
        </is>
      </c>
      <c r="J4" s="574" t="inlineStr">
        <is>
          <t xml:space="preserve">W04</t>
        </is>
      </c>
      <c r="K4" s="574" t="inlineStr">
        <is>
          <t xml:space="preserve">W05</t>
        </is>
      </c>
      <c r="L4" s="574" t="inlineStr">
        <is>
          <t xml:space="preserve">W06</t>
        </is>
      </c>
      <c r="M4" s="574" t="inlineStr">
        <is>
          <t xml:space="preserve">W07</t>
        </is>
      </c>
      <c r="N4" s="574" t="inlineStr">
        <is>
          <t xml:space="preserve">W08</t>
        </is>
      </c>
      <c r="O4" s="574" t="inlineStr">
        <is>
          <t xml:space="preserve">W09</t>
        </is>
      </c>
      <c r="P4" s="574" t="inlineStr">
        <is>
          <t xml:space="preserve">W10</t>
        </is>
      </c>
      <c r="Q4" s="574" t="inlineStr">
        <is>
          <t xml:space="preserve">W11</t>
        </is>
      </c>
      <c r="R4" s="574" t="inlineStr">
        <is>
          <t xml:space="preserve">W12</t>
        </is>
      </c>
      <c r="S4" s="574" t="inlineStr">
        <is>
          <t xml:space="preserve">W13</t>
        </is>
      </c>
      <c r="T4" s="574" t="inlineStr">
        <is>
          <t xml:space="preserve">W14</t>
        </is>
      </c>
      <c r="U4" s="574" t="inlineStr">
        <is>
          <t xml:space="preserve">W15</t>
        </is>
      </c>
      <c r="V4" s="574" t="inlineStr">
        <is>
          <t xml:space="preserve">W16</t>
        </is>
      </c>
      <c r="W4" s="574" t="inlineStr">
        <is>
          <t xml:space="preserve">W17</t>
        </is>
      </c>
      <c r="X4" s="574" t="inlineStr">
        <is>
          <t xml:space="preserve">W18</t>
        </is>
      </c>
      <c r="Y4" s="574" t="inlineStr">
        <is>
          <t xml:space="preserve">W19</t>
        </is>
      </c>
      <c r="Z4" s="574" t="inlineStr">
        <is>
          <t xml:space="preserve">W20</t>
        </is>
      </c>
      <c r="AA4" s="574" t="inlineStr">
        <is>
          <t xml:space="preserve">W21</t>
        </is>
      </c>
      <c r="AB4" s="574" t="inlineStr">
        <is>
          <t xml:space="preserve">W22</t>
        </is>
      </c>
      <c r="AC4" s="574" t="inlineStr">
        <is>
          <t xml:space="preserve">W23</t>
        </is>
      </c>
      <c r="AD4" s="574" t="inlineStr">
        <is>
          <t xml:space="preserve">W24</t>
        </is>
      </c>
      <c r="AE4" s="575" t="inlineStr">
        <is>
          <t xml:space="preserve">W25</t>
        </is>
      </c>
      <c r="AF4" s="574" t="inlineStr">
        <is>
          <t xml:space="preserve">W26</t>
        </is>
      </c>
      <c r="AG4" s="574" t="inlineStr">
        <is>
          <t xml:space="preserve">W27</t>
        </is>
      </c>
      <c r="AH4" s="574" t="inlineStr">
        <is>
          <t xml:space="preserve">W28</t>
        </is>
      </c>
      <c r="AI4" s="574" t="inlineStr">
        <is>
          <t xml:space="preserve">W29</t>
        </is>
      </c>
      <c r="AJ4" s="574" t="inlineStr">
        <is>
          <t xml:space="preserve">W30</t>
        </is>
      </c>
      <c r="AK4" s="574" t="inlineStr">
        <is>
          <t xml:space="preserve">W31</t>
        </is>
      </c>
      <c r="AL4" s="574" t="inlineStr">
        <is>
          <t xml:space="preserve">W32</t>
        </is>
      </c>
      <c r="AM4" s="574" t="inlineStr">
        <is>
          <t xml:space="preserve">W33</t>
        </is>
      </c>
      <c r="AN4" s="574" t="inlineStr">
        <is>
          <t xml:space="preserve">W34</t>
        </is>
      </c>
      <c r="AO4" s="574" t="inlineStr">
        <is>
          <t xml:space="preserve">W35</t>
        </is>
      </c>
      <c r="AP4" s="574" t="inlineStr">
        <is>
          <t xml:space="preserve">W36</t>
        </is>
      </c>
      <c r="AQ4" s="574" t="inlineStr">
        <is>
          <t xml:space="preserve">W37</t>
        </is>
      </c>
      <c r="AR4" s="574" t="inlineStr">
        <is>
          <t xml:space="preserve">W38</t>
        </is>
      </c>
      <c r="AS4" s="574" t="inlineStr">
        <is>
          <t xml:space="preserve">W39</t>
        </is>
      </c>
      <c r="AT4" s="574" t="inlineStr">
        <is>
          <t xml:space="preserve">W40</t>
        </is>
      </c>
      <c r="AU4" s="574" t="inlineStr">
        <is>
          <t xml:space="preserve">W41</t>
        </is>
      </c>
      <c r="AV4" s="574" t="inlineStr">
        <is>
          <t xml:space="preserve">W42</t>
        </is>
      </c>
      <c r="AW4" s="574" t="inlineStr">
        <is>
          <t xml:space="preserve">W43</t>
        </is>
      </c>
      <c r="AX4" s="574" t="inlineStr">
        <is>
          <t xml:space="preserve">W44</t>
        </is>
      </c>
      <c r="AY4" s="574" t="inlineStr">
        <is>
          <t xml:space="preserve">W45</t>
        </is>
      </c>
      <c r="AZ4" s="574" t="inlineStr">
        <is>
          <t xml:space="preserve">W46</t>
        </is>
      </c>
      <c r="BA4" s="574" t="inlineStr">
        <is>
          <t xml:space="preserve">W47</t>
        </is>
      </c>
      <c r="BB4" s="574" t="inlineStr">
        <is>
          <t xml:space="preserve">W48</t>
        </is>
      </c>
      <c r="BC4" s="574" t="inlineStr">
        <is>
          <t xml:space="preserve">W49</t>
        </is>
      </c>
      <c r="BD4" s="574" t="inlineStr">
        <is>
          <t xml:space="preserve">W50</t>
        </is>
      </c>
      <c r="BE4" s="574" t="inlineStr">
        <is>
          <t xml:space="preserve">W51</t>
        </is>
      </c>
      <c r="BF4" s="574" t="inlineStr">
        <is>
          <t xml:space="preserve">W52</t>
        </is>
      </c>
      <c r="BG4" s="574" t="inlineStr">
        <is>
          <t xml:space="preserve">W53</t>
        </is>
      </c>
    </row>
    <row r="5" ht="26" customHeight="1" spans="1:59">
      <c r="A5" s="576" t="inlineStr">
        <is>
          <t xml:space="preserve">Confirming</t>
        </is>
      </c>
      <c r="B5" s="577"/>
      <c r="C5" s="577"/>
      <c r="D5" s="577"/>
      <c r="E5" s="577"/>
      <c r="F5" s="577"/>
      <c r="G5" s="586"/>
      <c r="H5" s="586"/>
      <c r="I5" s="586"/>
      <c r="J5" s="586"/>
      <c r="K5" s="586"/>
      <c r="L5" s="586"/>
      <c r="M5" s="586"/>
      <c r="N5" s="586"/>
      <c r="O5" s="586"/>
      <c r="P5" s="587"/>
      <c r="Q5" s="587"/>
      <c r="R5" s="587"/>
      <c r="S5" s="587"/>
      <c r="T5" s="577"/>
      <c r="U5" s="577"/>
      <c r="V5" s="577"/>
      <c r="W5" s="577"/>
      <c r="X5" s="577"/>
      <c r="Y5" s="577"/>
      <c r="Z5" s="577"/>
      <c r="AA5" s="577"/>
      <c r="AB5" s="577"/>
      <c r="AC5" s="577"/>
      <c r="AD5" s="577"/>
      <c r="AE5" s="577"/>
      <c r="AF5" s="577"/>
      <c r="AG5" s="577"/>
      <c r="AH5" s="577"/>
      <c r="AI5" s="577"/>
      <c r="AJ5" s="577"/>
      <c r="AK5" s="577"/>
      <c r="AL5" s="577"/>
      <c r="AM5" s="577"/>
      <c r="AN5" s="577"/>
      <c r="AO5" s="577"/>
      <c r="AP5" s="577"/>
      <c r="AQ5" s="577"/>
      <c r="AR5" s="577"/>
      <c r="AS5" s="577"/>
      <c r="AT5" s="577"/>
      <c r="AU5" s="577"/>
      <c r="AV5" s="577"/>
      <c r="AW5" s="577"/>
      <c r="AX5" s="577"/>
      <c r="AY5" s="577"/>
      <c r="AZ5" s="577"/>
      <c r="BA5" s="577"/>
      <c r="BB5" s="577"/>
      <c r="BC5" s="577"/>
      <c r="BD5" s="577"/>
      <c r="BE5" s="577"/>
      <c r="BF5" s="577"/>
      <c r="BG5" s="577"/>
    </row>
    <row r="6" ht="26" customHeight="1" spans="1:59">
      <c r="A6" s="576" t="inlineStr">
        <is>
          <t xml:space="preserve">Consulta de créditos</t>
        </is>
      </c>
      <c r="B6" s="577"/>
      <c r="C6" s="577"/>
      <c r="D6" s="577"/>
      <c r="E6" s="577"/>
      <c r="F6" s="577"/>
      <c r="G6" s="586"/>
      <c r="H6" s="586"/>
      <c r="I6" s="586"/>
      <c r="J6" s="586"/>
      <c r="K6" s="586"/>
      <c r="L6" s="586"/>
      <c r="M6" s="586"/>
      <c r="N6" s="586"/>
      <c r="O6" s="586"/>
      <c r="P6" s="587"/>
      <c r="Q6" s="587"/>
      <c r="R6" s="587"/>
      <c r="S6" s="587"/>
      <c r="T6" s="577"/>
      <c r="U6" s="577"/>
      <c r="V6" s="577"/>
      <c r="W6" s="577"/>
      <c r="X6" s="577"/>
      <c r="Y6" s="577"/>
      <c r="Z6" s="577"/>
      <c r="AA6" s="577"/>
      <c r="AB6" s="577"/>
      <c r="AC6" s="577"/>
      <c r="AD6" s="577"/>
      <c r="AE6" s="577"/>
      <c r="AF6" s="577"/>
      <c r="AG6" s="577"/>
      <c r="AH6" s="577"/>
      <c r="AI6" s="577"/>
      <c r="AJ6" s="577"/>
      <c r="AK6" s="577"/>
      <c r="AL6" s="577"/>
      <c r="AM6" s="577"/>
      <c r="AN6" s="577"/>
      <c r="AO6" s="577"/>
      <c r="AP6" s="577"/>
      <c r="AQ6" s="577"/>
      <c r="AR6" s="577"/>
      <c r="AS6" s="577"/>
      <c r="AT6" s="577"/>
      <c r="AU6" s="577"/>
      <c r="AV6" s="577"/>
      <c r="AW6" s="577"/>
      <c r="AX6" s="577"/>
      <c r="AY6" s="577"/>
      <c r="AZ6" s="577"/>
      <c r="BA6" s="577"/>
      <c r="BB6" s="577"/>
      <c r="BC6" s="577"/>
      <c r="BD6" s="577"/>
      <c r="BE6" s="577"/>
      <c r="BF6" s="577"/>
      <c r="BG6" s="577"/>
    </row>
    <row r="7" ht="26" customHeight="1" spans="1:59">
      <c r="A7" s="576" t="inlineStr">
        <is>
          <t xml:space="preserve">CDT - Valor Alternativo</t>
        </is>
      </c>
      <c r="B7" s="577"/>
      <c r="C7" s="577"/>
      <c r="D7" s="577"/>
      <c r="E7" s="577"/>
      <c r="F7" s="577"/>
      <c r="G7" s="586"/>
      <c r="H7" s="586"/>
      <c r="I7" s="586"/>
      <c r="J7" s="586"/>
      <c r="K7" s="586"/>
      <c r="L7" s="586"/>
      <c r="M7" s="586"/>
      <c r="N7" s="586"/>
      <c r="O7" s="586"/>
      <c r="P7" s="586"/>
      <c r="Q7" s="586"/>
      <c r="R7" s="586"/>
      <c r="S7" s="586"/>
      <c r="T7" s="577"/>
      <c r="U7" s="577"/>
      <c r="V7" s="577"/>
      <c r="W7" s="577"/>
      <c r="X7" s="577"/>
      <c r="Y7" s="577"/>
      <c r="Z7" s="577"/>
      <c r="AA7" s="577"/>
      <c r="AB7" s="577"/>
      <c r="AC7" s="577"/>
      <c r="AD7" s="577"/>
      <c r="AE7" s="577"/>
      <c r="AF7" s="577"/>
      <c r="AG7" s="577"/>
      <c r="AH7" s="577"/>
      <c r="AI7" s="577"/>
      <c r="AJ7" s="577"/>
      <c r="AK7" s="577"/>
      <c r="AL7" s="577"/>
      <c r="AM7" s="577"/>
      <c r="AN7" s="577"/>
      <c r="AO7" s="577"/>
      <c r="AP7" s="577"/>
      <c r="AQ7" s="577"/>
      <c r="AR7" s="577"/>
      <c r="AS7" s="577"/>
      <c r="AT7" s="577"/>
      <c r="AU7" s="577"/>
      <c r="AV7" s="577"/>
      <c r="AW7" s="577"/>
      <c r="AX7" s="577"/>
      <c r="AY7" s="577"/>
      <c r="AZ7" s="577"/>
      <c r="BA7" s="577"/>
      <c r="BB7" s="577"/>
      <c r="BC7" s="577"/>
      <c r="BD7" s="577"/>
      <c r="BE7" s="577"/>
      <c r="BF7" s="577"/>
      <c r="BG7" s="577"/>
    </row>
    <row r="8" ht="26" customHeight="1" spans="1:59">
      <c r="A8" s="576" t="inlineStr">
        <is>
          <t xml:space="preserve">Recenseamento não clientes</t>
        </is>
      </c>
      <c r="B8" s="577"/>
      <c r="C8" s="577"/>
      <c r="D8" s="577"/>
      <c r="E8" s="577"/>
      <c r="F8" s="577"/>
      <c r="G8" s="585"/>
      <c r="H8" s="585"/>
      <c r="I8" s="585"/>
      <c r="J8" s="585"/>
      <c r="K8" s="585"/>
      <c r="L8" s="586"/>
      <c r="M8" s="586"/>
      <c r="N8" s="586"/>
      <c r="O8" s="586"/>
      <c r="P8" s="586"/>
      <c r="Q8" s="586"/>
      <c r="R8" s="586"/>
      <c r="S8" s="586"/>
      <c r="T8" s="584"/>
      <c r="U8" s="584"/>
      <c r="V8" s="584"/>
      <c r="W8" s="584"/>
      <c r="X8" s="584"/>
      <c r="Y8" s="577"/>
      <c r="Z8" s="577"/>
      <c r="AA8" s="577"/>
      <c r="AB8" s="577"/>
      <c r="AC8" s="577"/>
      <c r="AD8" s="577"/>
      <c r="AE8" s="577"/>
      <c r="AF8" s="577"/>
      <c r="AG8" s="577"/>
      <c r="AH8" s="577"/>
      <c r="AI8" s="577"/>
      <c r="AJ8" s="577"/>
      <c r="AK8" s="577"/>
      <c r="AL8" s="577"/>
      <c r="AM8" s="577"/>
      <c r="AN8" s="577"/>
      <c r="AO8" s="577"/>
      <c r="AP8" s="577"/>
      <c r="AQ8" s="577"/>
      <c r="AR8" s="577"/>
      <c r="AS8" s="577"/>
      <c r="AT8" s="577"/>
      <c r="AU8" s="577"/>
      <c r="AV8" s="577"/>
      <c r="AW8" s="577"/>
      <c r="AX8" s="577"/>
      <c r="AY8" s="577"/>
      <c r="AZ8" s="577"/>
      <c r="BA8" s="577"/>
      <c r="BB8" s="577"/>
      <c r="BC8" s="577"/>
      <c r="BD8" s="577"/>
      <c r="BE8" s="577"/>
      <c r="BF8" s="577"/>
      <c r="BG8" s="577"/>
    </row>
    <row r="9" ht="26" customHeight="1" spans="1:59">
      <c r="A9" s="576" t="inlineStr">
        <is>
          <t xml:space="preserve">Transformação dos IML´s para 5512</t>
        </is>
      </c>
      <c r="B9" s="577"/>
      <c r="C9" s="577"/>
      <c r="D9" s="577"/>
      <c r="E9" s="577"/>
      <c r="F9" s="577"/>
      <c r="G9" s="582"/>
      <c r="H9" s="582"/>
      <c r="I9" s="582"/>
      <c r="J9" s="582"/>
      <c r="K9" s="582"/>
      <c r="L9" s="585"/>
      <c r="M9" s="585"/>
      <c r="N9" s="585"/>
      <c r="O9" s="585"/>
      <c r="P9" s="585"/>
      <c r="Q9" s="585"/>
      <c r="R9" s="585"/>
      <c r="S9" s="585"/>
      <c r="T9" s="587"/>
      <c r="U9" s="587"/>
      <c r="V9" s="587"/>
      <c r="W9" s="587"/>
      <c r="X9" s="587"/>
      <c r="Y9" s="577"/>
      <c r="Z9" s="577"/>
      <c r="AA9" s="577"/>
      <c r="AB9" s="577"/>
      <c r="AC9" s="577"/>
      <c r="AD9" s="577"/>
      <c r="AE9" s="577"/>
      <c r="AF9" s="577"/>
      <c r="AG9" s="577"/>
      <c r="AH9" s="577"/>
      <c r="AI9" s="577"/>
      <c r="AJ9" s="577"/>
      <c r="AK9" s="577"/>
      <c r="AL9" s="577"/>
      <c r="AM9" s="577"/>
      <c r="AN9" s="577"/>
      <c r="AO9" s="577"/>
      <c r="AP9" s="577"/>
      <c r="AQ9" s="577"/>
      <c r="AR9" s="577"/>
      <c r="AS9" s="577"/>
      <c r="AT9" s="577"/>
      <c r="AU9" s="577"/>
      <c r="AV9" s="577"/>
      <c r="AW9" s="577"/>
      <c r="AX9" s="577"/>
      <c r="AY9" s="577"/>
      <c r="AZ9" s="577"/>
      <c r="BA9" s="577"/>
      <c r="BB9" s="577"/>
      <c r="BC9" s="577"/>
      <c r="BD9" s="577"/>
      <c r="BE9" s="577"/>
      <c r="BF9" s="577"/>
      <c r="BG9" s="577"/>
    </row>
    <row r="10" ht="26" customHeight="1" spans="1:59">
      <c r="A10" s="576" t="inlineStr">
        <is>
          <t xml:space="preserve">Modo de envio Ime|Urgente</t>
        </is>
      </c>
      <c r="B10" s="577"/>
      <c r="C10" s="577"/>
      <c r="D10" s="577"/>
      <c r="E10" s="577"/>
      <c r="F10" s="577"/>
      <c r="G10" s="582"/>
      <c r="H10" s="582"/>
      <c r="I10" s="582"/>
      <c r="J10" s="582"/>
      <c r="K10" s="582"/>
      <c r="L10" s="585"/>
      <c r="M10" s="585"/>
      <c r="N10" s="585"/>
      <c r="O10" s="585"/>
      <c r="P10" s="585"/>
      <c r="Q10" s="585"/>
      <c r="R10" s="585"/>
      <c r="S10" s="585"/>
      <c r="T10" s="587"/>
      <c r="U10" s="587"/>
      <c r="V10" s="587"/>
      <c r="W10" s="587"/>
      <c r="X10" s="587"/>
      <c r="Y10" s="577"/>
      <c r="Z10" s="577"/>
      <c r="AA10" s="577"/>
      <c r="AB10" s="577"/>
      <c r="AC10" s="577"/>
      <c r="AD10" s="577"/>
      <c r="AE10" s="577"/>
      <c r="AF10" s="577"/>
      <c r="AG10" s="577"/>
      <c r="AH10" s="577"/>
      <c r="AI10" s="577"/>
      <c r="AJ10" s="577"/>
      <c r="AK10" s="577"/>
      <c r="AL10" s="577"/>
      <c r="AM10" s="577"/>
      <c r="AN10" s="577"/>
      <c r="AO10" s="577"/>
      <c r="AP10" s="577"/>
      <c r="AQ10" s="577"/>
      <c r="AR10" s="577"/>
      <c r="AS10" s="577"/>
      <c r="AT10" s="577"/>
      <c r="AU10" s="577"/>
      <c r="AV10" s="577"/>
      <c r="AW10" s="577"/>
      <c r="AX10" s="577"/>
      <c r="AY10" s="577"/>
      <c r="AZ10" s="577"/>
      <c r="BA10" s="577"/>
      <c r="BB10" s="577"/>
      <c r="BC10" s="577"/>
      <c r="BD10" s="577"/>
      <c r="BE10" s="577"/>
      <c r="BF10" s="577"/>
      <c r="BG10" s="577"/>
    </row>
    <row r="11" ht="26" customHeight="1" spans="1:59">
      <c r="A11" s="576" t="inlineStr">
        <is>
          <t xml:space="preserve">Cliente Aplauso</t>
        </is>
      </c>
      <c r="B11" s="577"/>
      <c r="C11" s="577"/>
      <c r="D11" s="577"/>
      <c r="E11" s="577"/>
      <c r="F11" s="577"/>
      <c r="G11" s="582"/>
      <c r="H11" s="582"/>
      <c r="I11" s="582"/>
      <c r="J11" s="582"/>
      <c r="K11" s="582"/>
      <c r="L11" s="585"/>
      <c r="M11" s="585"/>
      <c r="N11" s="585"/>
      <c r="O11" s="585"/>
      <c r="P11" s="585"/>
      <c r="Q11" s="585"/>
      <c r="R11" s="585"/>
      <c r="S11" s="585"/>
      <c r="T11" s="585"/>
      <c r="U11" s="585"/>
      <c r="V11" s="585"/>
      <c r="W11" s="585"/>
      <c r="X11" s="585"/>
      <c r="Y11" s="585"/>
      <c r="Z11" s="585"/>
      <c r="AA11" s="585"/>
      <c r="AB11" s="585"/>
      <c r="AC11" s="585"/>
      <c r="AD11" s="585"/>
      <c r="AE11" s="585"/>
      <c r="AF11" s="585"/>
      <c r="AG11" s="577"/>
      <c r="AH11" s="577"/>
      <c r="AI11" s="577"/>
      <c r="AJ11" s="577"/>
      <c r="AK11" s="577"/>
      <c r="AL11" s="577"/>
      <c r="AM11" s="577"/>
      <c r="AN11" s="577"/>
      <c r="AO11" s="577"/>
      <c r="AP11" s="577"/>
      <c r="AQ11" s="577"/>
      <c r="AR11" s="577"/>
      <c r="AS11" s="577"/>
      <c r="AT11" s="577"/>
      <c r="AU11" s="577"/>
      <c r="AV11" s="577"/>
      <c r="AW11" s="577"/>
      <c r="AX11" s="577"/>
      <c r="AY11" s="577"/>
      <c r="AZ11" s="577"/>
      <c r="BA11" s="577"/>
      <c r="BB11" s="577"/>
      <c r="BC11" s="577"/>
      <c r="BD11" s="577"/>
      <c r="BE11" s="577"/>
      <c r="BF11" s="577"/>
      <c r="BG11" s="577"/>
    </row>
    <row r="12" ht="26" customHeight="1" spans="1:59">
      <c r="A12" s="576" t="inlineStr">
        <is>
          <t xml:space="preserve">Encerramento de conta digital</t>
        </is>
      </c>
      <c r="B12" s="577"/>
      <c r="C12" s="577"/>
      <c r="D12" s="577"/>
      <c r="E12" s="577"/>
      <c r="F12" s="577"/>
      <c r="G12" s="585"/>
      <c r="H12" s="585"/>
      <c r="I12" s="585"/>
      <c r="J12" s="585"/>
      <c r="K12" s="585"/>
      <c r="L12" s="585"/>
      <c r="M12" s="585"/>
      <c r="N12" s="585"/>
      <c r="O12" s="585"/>
      <c r="P12" s="585"/>
      <c r="Q12" s="585"/>
      <c r="R12" s="585"/>
      <c r="S12" s="585"/>
      <c r="T12" s="587"/>
      <c r="U12" s="587"/>
      <c r="V12" s="587"/>
      <c r="W12" s="587"/>
      <c r="X12" s="587"/>
      <c r="Y12" s="577"/>
      <c r="Z12" s="577"/>
      <c r="AA12" s="577"/>
      <c r="AB12" s="577"/>
      <c r="AC12" s="577"/>
      <c r="AD12" s="577"/>
      <c r="AE12" s="577"/>
      <c r="AF12" s="577"/>
      <c r="AG12" s="577"/>
      <c r="AH12" s="577"/>
      <c r="AI12" s="577"/>
      <c r="AJ12" s="577"/>
      <c r="AK12" s="577"/>
      <c r="AL12" s="577"/>
      <c r="AM12" s="577"/>
      <c r="AN12" s="577"/>
      <c r="AO12" s="577"/>
      <c r="AP12" s="577"/>
      <c r="AQ12" s="577"/>
      <c r="AR12" s="577"/>
      <c r="AS12" s="577"/>
      <c r="AT12" s="577"/>
      <c r="AU12" s="577"/>
      <c r="AV12" s="577"/>
      <c r="AW12" s="577"/>
      <c r="AX12" s="577"/>
      <c r="AY12" s="577"/>
      <c r="AZ12" s="577"/>
      <c r="BA12" s="577"/>
      <c r="BB12" s="577"/>
      <c r="BC12" s="577"/>
      <c r="BD12" s="577"/>
      <c r="BE12" s="577"/>
      <c r="BF12" s="577"/>
      <c r="BG12" s="577"/>
    </row>
    <row r="13" ht="26" customHeight="1" spans="1:59">
      <c r="A13" s="576" t="inlineStr">
        <is>
          <t xml:space="preserve">Pedido de cartão de crédito (email)</t>
        </is>
      </c>
      <c r="B13" s="577"/>
      <c r="C13" s="577"/>
      <c r="D13" s="577"/>
      <c r="E13" s="577"/>
      <c r="F13" s="577"/>
      <c r="G13" s="585"/>
      <c r="H13" s="585"/>
      <c r="I13" s="585"/>
      <c r="J13" s="585"/>
      <c r="K13" s="585"/>
      <c r="L13" s="585"/>
      <c r="M13" s="585"/>
      <c r="N13" s="585"/>
      <c r="O13" s="585"/>
      <c r="P13" s="585"/>
      <c r="Q13" s="585"/>
      <c r="R13" s="585"/>
      <c r="S13" s="585"/>
      <c r="T13" s="585"/>
      <c r="U13" s="585"/>
      <c r="V13" s="585"/>
      <c r="W13" s="585"/>
      <c r="X13" s="585"/>
      <c r="Y13" s="577"/>
      <c r="Z13" s="577"/>
      <c r="AA13" s="577"/>
      <c r="AB13" s="577"/>
      <c r="AC13" s="577"/>
      <c r="AD13" s="577"/>
      <c r="AE13" s="577"/>
      <c r="AF13" s="577"/>
      <c r="AG13" s="577"/>
      <c r="AH13" s="577"/>
      <c r="AI13" s="577"/>
      <c r="AJ13" s="577"/>
      <c r="AK13" s="577"/>
      <c r="AL13" s="577"/>
      <c r="AM13" s="577"/>
      <c r="AN13" s="577"/>
      <c r="AO13" s="577"/>
      <c r="AP13" s="577"/>
      <c r="AQ13" s="577"/>
      <c r="AR13" s="577"/>
      <c r="AS13" s="577"/>
      <c r="AT13" s="577"/>
      <c r="AU13" s="577"/>
      <c r="AV13" s="577"/>
      <c r="AW13" s="577"/>
      <c r="AX13" s="577"/>
      <c r="AY13" s="577"/>
      <c r="AZ13" s="577"/>
      <c r="BA13" s="577"/>
      <c r="BB13" s="577"/>
      <c r="BC13" s="577"/>
      <c r="BD13" s="577"/>
      <c r="BE13" s="577"/>
      <c r="BF13" s="577"/>
      <c r="BG13" s="577"/>
    </row>
    <row r="14" ht="26" customHeight="1" spans="1:59">
      <c r="A14" s="576" t="inlineStr">
        <is>
          <t xml:space="preserve">Cartões - A NOSSA OFERTA</t>
        </is>
      </c>
      <c r="B14" s="577"/>
      <c r="C14" s="577"/>
      <c r="D14" s="577"/>
      <c r="E14" s="577"/>
      <c r="F14" s="577"/>
      <c r="G14" s="585"/>
      <c r="H14" s="585"/>
      <c r="I14" s="585"/>
      <c r="J14" s="585"/>
      <c r="K14" s="585"/>
      <c r="L14" s="585"/>
      <c r="M14" s="585"/>
      <c r="N14" s="585"/>
      <c r="O14" s="585"/>
      <c r="P14" s="585"/>
      <c r="Q14" s="585"/>
      <c r="R14" s="585"/>
      <c r="S14" s="585"/>
      <c r="T14" s="585"/>
      <c r="U14" s="585"/>
      <c r="V14" s="585"/>
      <c r="W14" s="585"/>
      <c r="X14" s="585"/>
      <c r="Y14" s="577"/>
      <c r="Z14" s="577"/>
      <c r="AA14" s="577"/>
      <c r="AB14" s="577"/>
      <c r="AC14" s="577"/>
      <c r="AD14" s="577"/>
      <c r="AE14" s="577"/>
      <c r="AF14" s="577"/>
      <c r="AG14" s="577"/>
      <c r="AH14" s="577"/>
      <c r="AI14" s="577"/>
      <c r="AJ14" s="577"/>
      <c r="AK14" s="577"/>
      <c r="AL14" s="577"/>
      <c r="AM14" s="577"/>
      <c r="AN14" s="577"/>
      <c r="AO14" s="577"/>
      <c r="AP14" s="577"/>
      <c r="AQ14" s="577"/>
      <c r="AR14" s="577"/>
      <c r="AS14" s="577"/>
      <c r="AT14" s="577"/>
      <c r="AU14" s="577"/>
      <c r="AV14" s="577"/>
      <c r="AW14" s="577"/>
      <c r="AX14" s="577"/>
      <c r="AY14" s="577"/>
      <c r="AZ14" s="577"/>
      <c r="BA14" s="577"/>
      <c r="BB14" s="577"/>
      <c r="BC14" s="577"/>
      <c r="BD14" s="577"/>
      <c r="BE14" s="577"/>
      <c r="BF14" s="577"/>
      <c r="BG14" s="577"/>
    </row>
    <row r="15" ht="26" customHeight="1" spans="1:59">
      <c r="A15" s="576" t="inlineStr">
        <is>
          <t xml:space="preserve">SAF-T - Upload de ficheiro</t>
        </is>
      </c>
      <c r="B15" s="577"/>
      <c r="C15" s="577"/>
      <c r="D15" s="577"/>
      <c r="E15" s="577"/>
      <c r="F15" s="577"/>
      <c r="G15" s="582"/>
      <c r="H15" s="582"/>
      <c r="I15" s="582"/>
      <c r="J15" s="582"/>
      <c r="K15" s="582"/>
      <c r="L15" s="582"/>
      <c r="M15" s="582"/>
      <c r="N15" s="582"/>
      <c r="O15" s="582"/>
      <c r="P15" s="585"/>
      <c r="Q15" s="585"/>
      <c r="R15" s="585"/>
      <c r="S15" s="585"/>
      <c r="T15" s="586"/>
      <c r="U15" s="586"/>
      <c r="V15" s="586"/>
      <c r="W15" s="586"/>
      <c r="X15" s="586"/>
      <c r="Y15" s="577"/>
      <c r="Z15" s="577"/>
      <c r="AA15" s="577"/>
      <c r="AB15" s="577"/>
      <c r="AC15" s="577"/>
      <c r="AD15" s="577"/>
      <c r="AE15" s="577"/>
      <c r="AF15" s="577"/>
      <c r="AG15" s="577"/>
      <c r="AH15" s="577"/>
      <c r="AI15" s="577"/>
      <c r="AJ15" s="577"/>
      <c r="AK15" s="577"/>
      <c r="AL15" s="577"/>
      <c r="AM15" s="577"/>
      <c r="AN15" s="577"/>
      <c r="AO15" s="577"/>
      <c r="AP15" s="577"/>
      <c r="AQ15" s="577"/>
      <c r="AR15" s="577"/>
      <c r="AS15" s="577"/>
      <c r="AT15" s="577"/>
      <c r="AU15" s="577"/>
      <c r="AV15" s="577"/>
      <c r="AW15" s="577"/>
      <c r="AX15" s="577"/>
      <c r="AY15" s="577"/>
      <c r="AZ15" s="577"/>
      <c r="BA15" s="577"/>
      <c r="BB15" s="577"/>
      <c r="BC15" s="577"/>
      <c r="BD15" s="577"/>
      <c r="BE15" s="577"/>
      <c r="BF15" s="577"/>
      <c r="BG15" s="577"/>
    </row>
    <row r="16" ht="26" customHeight="1" spans="1:59">
      <c r="A16" s="576" t="inlineStr">
        <is>
          <t xml:space="preserve">Agenda 2.0</t>
        </is>
      </c>
      <c r="B16" s="577"/>
      <c r="C16" s="577"/>
      <c r="D16" s="577"/>
      <c r="E16" s="577"/>
      <c r="F16" s="577"/>
      <c r="G16" s="581"/>
      <c r="H16" s="581"/>
      <c r="I16" s="581"/>
      <c r="J16" s="581"/>
      <c r="K16" s="581"/>
      <c r="L16" s="582"/>
      <c r="M16" s="582"/>
      <c r="N16" s="582"/>
      <c r="O16" s="582"/>
      <c r="P16" s="580"/>
      <c r="Q16" s="580"/>
      <c r="R16" s="580"/>
      <c r="S16" s="580"/>
      <c r="T16" s="580"/>
      <c r="U16" s="580"/>
      <c r="V16" s="580"/>
      <c r="W16" s="580"/>
      <c r="X16" s="580"/>
      <c r="Y16" s="580"/>
      <c r="Z16" s="580"/>
      <c r="AA16" s="580"/>
      <c r="AB16" s="580"/>
      <c r="AC16" s="580"/>
      <c r="AD16" s="580"/>
      <c r="AE16" s="580"/>
      <c r="AF16" s="580"/>
      <c r="AG16" s="577"/>
      <c r="AH16" s="577"/>
      <c r="AI16" s="577"/>
      <c r="AJ16" s="577"/>
      <c r="AK16" s="577"/>
      <c r="AL16" s="577"/>
      <c r="AM16" s="577"/>
      <c r="AN16" s="577"/>
      <c r="AO16" s="577"/>
      <c r="AP16" s="577"/>
      <c r="AQ16" s="577"/>
      <c r="AR16" s="577"/>
      <c r="AS16" s="577"/>
      <c r="AT16" s="577"/>
      <c r="AU16" s="577"/>
      <c r="AV16" s="577"/>
      <c r="AW16" s="577"/>
      <c r="AX16" s="577"/>
      <c r="AY16" s="577"/>
      <c r="AZ16" s="577"/>
      <c r="BA16" s="577"/>
      <c r="BB16" s="577"/>
      <c r="BC16" s="577"/>
      <c r="BD16" s="577"/>
      <c r="BE16" s="577"/>
      <c r="BF16" s="577"/>
      <c r="BG16" s="577"/>
    </row>
    <row r="17" ht="26" customHeight="1" spans="1:59">
      <c r="A17" s="576" t="inlineStr">
        <is>
          <t xml:space="preserve">Projeto KAFKA</t>
        </is>
      </c>
      <c r="B17" s="577"/>
      <c r="C17" s="577"/>
      <c r="D17" s="577"/>
      <c r="E17" s="577"/>
      <c r="F17" s="577"/>
      <c r="G17" s="581"/>
      <c r="H17" s="581"/>
      <c r="I17" s="581"/>
      <c r="J17" s="581"/>
      <c r="K17" s="581"/>
      <c r="L17" s="581"/>
      <c r="M17" s="581"/>
      <c r="N17" s="581"/>
      <c r="O17" s="581"/>
      <c r="P17" s="582"/>
      <c r="Q17" s="582"/>
      <c r="R17" s="582"/>
      <c r="S17" s="582"/>
      <c r="T17" s="585"/>
      <c r="U17" s="585"/>
      <c r="V17" s="585"/>
      <c r="W17" s="585"/>
      <c r="X17" s="585"/>
      <c r="Y17" s="577"/>
      <c r="Z17" s="577"/>
      <c r="AA17" s="577"/>
      <c r="AB17" s="577"/>
      <c r="AC17" s="577"/>
      <c r="AD17" s="577"/>
      <c r="AE17" s="577"/>
      <c r="AF17" s="577"/>
      <c r="AG17" s="577"/>
      <c r="AH17" s="577"/>
      <c r="AI17" s="577"/>
      <c r="AJ17" s="577"/>
      <c r="AK17" s="577"/>
      <c r="AL17" s="577"/>
      <c r="AM17" s="577"/>
      <c r="AN17" s="577"/>
      <c r="AO17" s="577"/>
      <c r="AP17" s="577"/>
      <c r="AQ17" s="577"/>
      <c r="AR17" s="577"/>
      <c r="AS17" s="577"/>
      <c r="AT17" s="577"/>
      <c r="AU17" s="577"/>
      <c r="AV17" s="577"/>
      <c r="AW17" s="577"/>
      <c r="AX17" s="577"/>
      <c r="AY17" s="577"/>
      <c r="AZ17" s="577"/>
      <c r="BA17" s="577"/>
      <c r="BB17" s="577"/>
      <c r="BC17" s="577"/>
      <c r="BD17" s="577"/>
      <c r="BE17" s="577"/>
      <c r="BF17" s="577"/>
      <c r="BG17" s="577"/>
    </row>
    <row r="18" ht="26" customHeight="1" spans="1:59">
      <c r="A18" s="576" t="inlineStr">
        <is>
          <t xml:space="preserve">Crédito Digital Avançar (Wave 1)</t>
        </is>
      </c>
      <c r="B18" s="577"/>
      <c r="C18" s="577"/>
      <c r="D18" s="577"/>
      <c r="E18" s="577"/>
      <c r="F18" s="577"/>
      <c r="G18" s="581"/>
      <c r="H18" s="581"/>
      <c r="I18" s="581"/>
      <c r="J18" s="581"/>
      <c r="K18" s="581"/>
      <c r="L18" s="581"/>
      <c r="M18" s="581"/>
      <c r="N18" s="581"/>
      <c r="O18" s="581"/>
      <c r="P18" s="582"/>
      <c r="Q18" s="582"/>
      <c r="R18" s="582"/>
      <c r="S18" s="582"/>
      <c r="T18" s="582"/>
      <c r="U18" s="582"/>
      <c r="V18" s="582"/>
      <c r="W18" s="582"/>
      <c r="X18" s="582"/>
      <c r="Y18" s="577"/>
      <c r="Z18" s="577"/>
      <c r="AA18" s="577"/>
      <c r="AB18" s="577"/>
      <c r="AC18" s="577"/>
      <c r="AD18" s="577"/>
      <c r="AE18" s="577"/>
      <c r="AF18" s="577"/>
      <c r="AG18" s="577"/>
      <c r="AH18" s="577"/>
      <c r="AI18" s="577"/>
      <c r="AJ18" s="577"/>
      <c r="AK18" s="577"/>
      <c r="AL18" s="577"/>
      <c r="AM18" s="577"/>
      <c r="AN18" s="577"/>
      <c r="AO18" s="577"/>
      <c r="AP18" s="577"/>
      <c r="AQ18" s="577"/>
      <c r="AR18" s="577"/>
      <c r="AS18" s="577"/>
      <c r="AT18" s="577"/>
      <c r="AU18" s="577"/>
      <c r="AV18" s="577"/>
      <c r="AW18" s="577"/>
      <c r="AX18" s="577"/>
      <c r="AY18" s="577"/>
      <c r="AZ18" s="577"/>
      <c r="BA18" s="577"/>
      <c r="BB18" s="577"/>
      <c r="BC18" s="577"/>
      <c r="BD18" s="577"/>
      <c r="BE18" s="577"/>
      <c r="BF18" s="577"/>
      <c r="BG18" s="577"/>
    </row>
    <row r="19" ht="26" customHeight="1" spans="1:59">
      <c r="A19" s="576" t="inlineStr">
        <is>
          <t xml:space="preserve">Via Verde</t>
        </is>
      </c>
      <c r="B19" s="577"/>
      <c r="C19" s="577"/>
      <c r="D19" s="577"/>
      <c r="E19" s="577"/>
      <c r="F19" s="577"/>
      <c r="G19" s="581"/>
      <c r="H19" s="581"/>
      <c r="I19" s="581"/>
      <c r="J19" s="581"/>
      <c r="K19" s="581"/>
      <c r="L19" s="581"/>
      <c r="M19" s="581"/>
      <c r="N19" s="581"/>
      <c r="O19" s="581"/>
      <c r="P19" s="585"/>
      <c r="Q19" s="585"/>
      <c r="R19" s="585"/>
      <c r="S19" s="585"/>
      <c r="T19" s="585"/>
      <c r="U19" s="585"/>
      <c r="V19" s="585"/>
      <c r="W19" s="585"/>
      <c r="X19" s="585"/>
      <c r="Y19" s="585"/>
      <c r="Z19" s="585"/>
      <c r="AA19" s="585"/>
      <c r="AB19" s="585"/>
      <c r="AC19" s="585"/>
      <c r="AD19" s="585"/>
      <c r="AE19" s="585"/>
      <c r="AF19" s="585"/>
      <c r="AG19" s="577"/>
      <c r="AH19" s="577"/>
      <c r="AI19" s="577"/>
      <c r="AJ19" s="577"/>
      <c r="AK19" s="577"/>
      <c r="AL19" s="577"/>
      <c r="AM19" s="577"/>
      <c r="AN19" s="577"/>
      <c r="AO19" s="577"/>
      <c r="AP19" s="577"/>
      <c r="AQ19" s="577"/>
      <c r="AR19" s="577"/>
      <c r="AS19" s="577"/>
      <c r="AT19" s="577"/>
      <c r="AU19" s="577"/>
      <c r="AV19" s="577"/>
      <c r="AW19" s="577"/>
      <c r="AX19" s="577"/>
      <c r="AY19" s="577"/>
      <c r="AZ19" s="577"/>
      <c r="BA19" s="577"/>
      <c r="BB19" s="577"/>
      <c r="BC19" s="577"/>
      <c r="BD19" s="577"/>
      <c r="BE19" s="577"/>
      <c r="BF19" s="577"/>
      <c r="BG19" s="577"/>
    </row>
    <row r="20" ht="26" customHeight="1" spans="1:59">
      <c r="A20" s="576" t="inlineStr">
        <is>
          <t xml:space="preserve">Factoring - Digital notifications</t>
        </is>
      </c>
      <c r="B20" s="577"/>
      <c r="C20" s="577"/>
      <c r="D20" s="577"/>
      <c r="E20" s="577"/>
      <c r="F20" s="577"/>
      <c r="G20" s="581"/>
      <c r="H20" s="581"/>
      <c r="I20" s="581"/>
      <c r="J20" s="581"/>
      <c r="K20" s="581"/>
      <c r="L20" s="581"/>
      <c r="M20" s="581"/>
      <c r="N20" s="581"/>
      <c r="O20" s="581"/>
      <c r="P20" s="582"/>
      <c r="Q20" s="582"/>
      <c r="R20" s="582"/>
      <c r="S20" s="582"/>
      <c r="T20" s="582"/>
      <c r="U20" s="582"/>
      <c r="V20" s="582"/>
      <c r="W20" s="582"/>
      <c r="X20" s="582"/>
      <c r="Y20" s="577"/>
      <c r="Z20" s="577"/>
      <c r="AA20" s="577"/>
      <c r="AB20" s="577"/>
      <c r="AC20" s="577"/>
      <c r="AD20" s="577"/>
      <c r="AE20" s="577"/>
      <c r="AF20" s="577"/>
      <c r="AG20" s="577"/>
      <c r="AH20" s="577"/>
      <c r="AI20" s="577"/>
      <c r="AJ20" s="577"/>
      <c r="AK20" s="577"/>
      <c r="AL20" s="577"/>
      <c r="AM20" s="577"/>
      <c r="AN20" s="577"/>
      <c r="AO20" s="577"/>
      <c r="AP20" s="577"/>
      <c r="AQ20" s="577"/>
      <c r="AR20" s="577"/>
      <c r="AS20" s="577"/>
      <c r="AT20" s="577"/>
      <c r="AU20" s="577"/>
      <c r="AV20" s="577"/>
      <c r="AW20" s="577"/>
      <c r="AX20" s="577"/>
      <c r="AY20" s="577"/>
      <c r="AZ20" s="577"/>
      <c r="BA20" s="577"/>
      <c r="BB20" s="577"/>
      <c r="BC20" s="577"/>
      <c r="BD20" s="577"/>
      <c r="BE20" s="577"/>
      <c r="BF20" s="577"/>
      <c r="BG20" s="577"/>
    </row>
    <row r="21" ht="26" customHeight="1" spans="1:59">
      <c r="A21" s="576" t="inlineStr">
        <is>
          <t xml:space="preserve">Requisição de Cheques</t>
        </is>
      </c>
      <c r="B21" s="577"/>
      <c r="C21" s="577"/>
      <c r="D21" s="577"/>
      <c r="E21" s="577"/>
      <c r="F21" s="577"/>
      <c r="G21" s="580"/>
      <c r="H21" s="580"/>
      <c r="I21" s="580"/>
      <c r="J21" s="580"/>
      <c r="K21" s="580"/>
      <c r="L21" s="581"/>
      <c r="M21" s="581"/>
      <c r="N21" s="581"/>
      <c r="O21" s="581"/>
      <c r="P21" s="583"/>
      <c r="Q21" s="583"/>
      <c r="R21" s="583"/>
      <c r="S21" s="583"/>
      <c r="T21" s="583"/>
      <c r="U21" s="583"/>
      <c r="V21" s="583"/>
      <c r="W21" s="583"/>
      <c r="X21" s="583"/>
      <c r="Y21" s="585"/>
      <c r="Z21" s="585"/>
      <c r="AA21" s="585"/>
      <c r="AB21" s="585"/>
      <c r="AC21" s="585"/>
      <c r="AD21" s="585"/>
      <c r="AE21" s="585"/>
      <c r="AF21" s="585"/>
      <c r="AG21" s="577"/>
      <c r="AH21" s="577"/>
      <c r="AI21" s="577"/>
      <c r="AJ21" s="577"/>
      <c r="AK21" s="577"/>
      <c r="AL21" s="577"/>
      <c r="AM21" s="577"/>
      <c r="AN21" s="577"/>
      <c r="AO21" s="577"/>
      <c r="AP21" s="577"/>
      <c r="AQ21" s="577"/>
      <c r="AR21" s="577"/>
      <c r="AS21" s="577"/>
      <c r="AT21" s="577"/>
      <c r="AU21" s="577"/>
      <c r="AV21" s="577"/>
      <c r="AW21" s="577"/>
      <c r="AX21" s="577"/>
      <c r="AY21" s="577"/>
      <c r="AZ21" s="577"/>
      <c r="BA21" s="577"/>
      <c r="BB21" s="577"/>
      <c r="BC21" s="577"/>
      <c r="BD21" s="577"/>
      <c r="BE21" s="577"/>
      <c r="BF21" s="577"/>
      <c r="BG21" s="577"/>
    </row>
    <row r="22" ht="26" customHeight="1" spans="1:59">
      <c r="A22" s="576" t="inlineStr">
        <is>
          <t xml:space="preserve">B2B Millennium API</t>
        </is>
      </c>
      <c r="B22" s="577"/>
      <c r="C22" s="577"/>
      <c r="D22" s="577"/>
      <c r="E22" s="577"/>
      <c r="F22" s="577"/>
      <c r="G22" s="580"/>
      <c r="H22" s="580"/>
      <c r="I22" s="580"/>
      <c r="J22" s="580"/>
      <c r="K22" s="580"/>
      <c r="L22" s="581"/>
      <c r="M22" s="581"/>
      <c r="N22" s="581"/>
      <c r="O22" s="581"/>
      <c r="P22" s="584"/>
      <c r="Q22" s="584"/>
      <c r="R22" s="584"/>
      <c r="S22" s="584"/>
      <c r="T22" s="582"/>
      <c r="U22" s="582"/>
      <c r="V22" s="582"/>
      <c r="W22" s="582"/>
      <c r="X22" s="582"/>
      <c r="Y22" s="583"/>
      <c r="Z22" s="583"/>
      <c r="AA22" s="583"/>
      <c r="AB22" s="583"/>
      <c r="AC22" s="583"/>
      <c r="AD22" s="583"/>
      <c r="AE22" s="583"/>
      <c r="AF22" s="583"/>
      <c r="AG22" s="577"/>
      <c r="AH22" s="577"/>
      <c r="AI22" s="577"/>
      <c r="AJ22" s="577"/>
      <c r="AK22" s="577"/>
      <c r="AL22" s="577"/>
      <c r="AM22" s="577"/>
      <c r="AN22" s="577"/>
      <c r="AO22" s="577"/>
      <c r="AP22" s="577"/>
      <c r="AQ22" s="577"/>
      <c r="AR22" s="577"/>
      <c r="AS22" s="577"/>
      <c r="AT22" s="577"/>
      <c r="AU22" s="577"/>
      <c r="AV22" s="577"/>
      <c r="AW22" s="577"/>
      <c r="AX22" s="577"/>
      <c r="AY22" s="577"/>
      <c r="AZ22" s="577"/>
      <c r="BA22" s="577"/>
      <c r="BB22" s="577"/>
      <c r="BC22" s="577"/>
      <c r="BD22" s="577"/>
      <c r="BE22" s="577"/>
      <c r="BF22" s="577"/>
      <c r="BG22" s="577"/>
    </row>
    <row r="23" ht="26" customHeight="1" spans="1:59">
      <c r="A23" s="576" t="inlineStr">
        <is>
          <t xml:space="preserve">Pedido de cartão de débito (E2E)</t>
        </is>
      </c>
      <c r="B23" s="577"/>
      <c r="C23" s="577"/>
      <c r="D23" s="577"/>
      <c r="E23" s="577"/>
      <c r="F23" s="577"/>
      <c r="G23" s="582"/>
      <c r="H23" s="582"/>
      <c r="I23" s="582"/>
      <c r="J23" s="582"/>
      <c r="K23" s="582"/>
      <c r="L23" s="582"/>
      <c r="M23" s="582"/>
      <c r="N23" s="582"/>
      <c r="O23" s="582"/>
      <c r="P23" s="582"/>
      <c r="Q23" s="582"/>
      <c r="R23" s="582"/>
      <c r="S23" s="582"/>
      <c r="T23" s="582"/>
      <c r="U23" s="582"/>
      <c r="V23" s="582"/>
      <c r="W23" s="582"/>
      <c r="X23" s="582"/>
      <c r="Y23" s="577"/>
      <c r="Z23" s="577"/>
      <c r="AA23" s="577"/>
      <c r="AB23" s="577"/>
      <c r="AC23" s="577"/>
      <c r="AD23" s="577"/>
      <c r="AE23" s="577"/>
      <c r="AF23" s="577"/>
      <c r="AG23" s="577"/>
      <c r="AH23" s="577"/>
      <c r="AI23" s="577"/>
      <c r="AJ23" s="577"/>
      <c r="AK23" s="577"/>
      <c r="AL23" s="577"/>
      <c r="AM23" s="577"/>
      <c r="AN23" s="577"/>
      <c r="AO23" s="577"/>
      <c r="AP23" s="577"/>
      <c r="AQ23" s="577"/>
      <c r="AR23" s="577"/>
      <c r="AS23" s="577"/>
      <c r="AT23" s="577"/>
      <c r="AU23" s="577"/>
      <c r="AV23" s="577"/>
      <c r="AW23" s="577"/>
      <c r="AX23" s="577"/>
      <c r="AY23" s="577"/>
      <c r="AZ23" s="577"/>
      <c r="BA23" s="577"/>
      <c r="BB23" s="577"/>
      <c r="BC23" s="577"/>
      <c r="BD23" s="577"/>
      <c r="BE23" s="577"/>
      <c r="BF23" s="577"/>
      <c r="BG23" s="577"/>
    </row>
    <row r="24" ht="26" customHeight="1" spans="1:59">
      <c r="A24" s="576" t="inlineStr">
        <is>
          <t xml:space="preserve">PayByMillennium</t>
        </is>
      </c>
      <c r="B24" s="577"/>
      <c r="C24" s="577"/>
      <c r="D24" s="577"/>
      <c r="E24" s="577"/>
      <c r="F24" s="577"/>
      <c r="G24" s="581"/>
      <c r="H24" s="581"/>
      <c r="I24" s="581"/>
      <c r="J24" s="581"/>
      <c r="K24" s="581"/>
      <c r="L24" s="581"/>
      <c r="M24" s="581"/>
      <c r="N24" s="581"/>
      <c r="O24" s="581"/>
      <c r="P24" s="581"/>
      <c r="Q24" s="581"/>
      <c r="R24" s="581"/>
      <c r="S24" s="581"/>
      <c r="T24" s="580"/>
      <c r="U24" s="580"/>
      <c r="V24" s="580"/>
      <c r="W24" s="580"/>
      <c r="X24" s="580"/>
      <c r="Y24" s="577"/>
      <c r="Z24" s="577"/>
      <c r="AA24" s="577"/>
      <c r="AB24" s="577"/>
      <c r="AC24" s="577"/>
      <c r="AD24" s="577"/>
      <c r="AE24" s="577"/>
      <c r="AF24" s="577"/>
      <c r="AG24" s="577"/>
      <c r="AH24" s="577"/>
      <c r="AI24" s="577"/>
      <c r="AJ24" s="577"/>
      <c r="AK24" s="577"/>
      <c r="AL24" s="577"/>
      <c r="AM24" s="577"/>
      <c r="AN24" s="577"/>
      <c r="AO24" s="577"/>
      <c r="AP24" s="577"/>
      <c r="AQ24" s="577"/>
      <c r="AR24" s="577"/>
      <c r="AS24" s="577"/>
      <c r="AT24" s="577"/>
      <c r="AU24" s="577"/>
      <c r="AV24" s="577"/>
      <c r="AW24" s="577"/>
      <c r="AX24" s="577"/>
      <c r="AY24" s="577"/>
      <c r="AZ24" s="577"/>
      <c r="BA24" s="577"/>
      <c r="BB24" s="577"/>
      <c r="BC24" s="577"/>
      <c r="BD24" s="577"/>
      <c r="BE24" s="577"/>
      <c r="BF24" s="577"/>
      <c r="BG24" s="577"/>
    </row>
    <row r="25" ht="26" customHeight="1" spans="1:59">
      <c r="A25" s="576" t="inlineStr">
        <is>
          <t xml:space="preserve">Cartões Servicing</t>
        </is>
      </c>
      <c r="B25" s="577"/>
      <c r="C25" s="577"/>
      <c r="D25" s="577"/>
      <c r="E25" s="577"/>
      <c r="F25" s="577"/>
      <c r="G25" s="581"/>
      <c r="H25" s="581"/>
      <c r="I25" s="581"/>
      <c r="J25" s="581"/>
      <c r="K25" s="581"/>
      <c r="L25" s="581"/>
      <c r="M25" s="581"/>
      <c r="N25" s="581"/>
      <c r="O25" s="581"/>
      <c r="P25" s="581"/>
      <c r="Q25" s="581"/>
      <c r="R25" s="581"/>
      <c r="S25" s="581"/>
      <c r="T25" s="580"/>
      <c r="U25" s="580"/>
      <c r="V25" s="580"/>
      <c r="W25" s="580"/>
      <c r="X25" s="580"/>
      <c r="Y25" s="577"/>
      <c r="Z25" s="577"/>
      <c r="AA25" s="577"/>
      <c r="AB25" s="577"/>
      <c r="AC25" s="577"/>
      <c r="AD25" s="577"/>
      <c r="AE25" s="577"/>
      <c r="AF25" s="577"/>
      <c r="AG25" s="577"/>
      <c r="AH25" s="577"/>
      <c r="AI25" s="577"/>
      <c r="AJ25" s="577"/>
      <c r="AK25" s="577"/>
      <c r="AL25" s="577"/>
      <c r="AM25" s="577"/>
      <c r="AN25" s="577"/>
      <c r="AO25" s="577"/>
      <c r="AP25" s="577"/>
      <c r="AQ25" s="577"/>
      <c r="AR25" s="577"/>
      <c r="AS25" s="577"/>
      <c r="AT25" s="577"/>
      <c r="AU25" s="577"/>
      <c r="AV25" s="577"/>
      <c r="AW25" s="577"/>
      <c r="AX25" s="577"/>
      <c r="AY25" s="577"/>
      <c r="AZ25" s="577"/>
      <c r="BA25" s="577"/>
      <c r="BB25" s="577"/>
      <c r="BC25" s="577"/>
      <c r="BD25" s="577"/>
      <c r="BE25" s="577"/>
      <c r="BF25" s="577"/>
      <c r="BG25" s="577"/>
    </row>
    <row r="26" ht="26" customHeight="1" spans="1:59">
      <c r="A26" s="576" t="inlineStr">
        <is>
          <t xml:space="preserve">Criação de Utilizadores (Operadores)</t>
        </is>
      </c>
      <c r="B26" s="577"/>
      <c r="C26" s="577"/>
      <c r="D26" s="577"/>
      <c r="E26" s="577"/>
      <c r="F26" s="577"/>
      <c r="G26" s="581"/>
      <c r="H26" s="581"/>
      <c r="I26" s="581"/>
      <c r="J26" s="581"/>
      <c r="K26" s="581"/>
      <c r="L26" s="581"/>
      <c r="M26" s="581"/>
      <c r="N26" s="581"/>
      <c r="O26" s="581"/>
      <c r="P26" s="582"/>
      <c r="Q26" s="582"/>
      <c r="R26" s="582"/>
      <c r="S26" s="582"/>
      <c r="T26" s="582"/>
      <c r="U26" s="582"/>
      <c r="V26" s="582"/>
      <c r="W26" s="582"/>
      <c r="X26" s="582"/>
      <c r="Y26" s="577"/>
      <c r="Z26" s="577"/>
      <c r="AA26" s="577"/>
      <c r="AB26" s="577"/>
      <c r="AC26" s="577"/>
      <c r="AD26" s="577"/>
      <c r="AE26" s="577"/>
      <c r="AF26" s="577"/>
      <c r="AG26" s="577"/>
      <c r="AH26" s="577"/>
      <c r="AI26" s="577"/>
      <c r="AJ26" s="577"/>
      <c r="AK26" s="577"/>
      <c r="AL26" s="577"/>
      <c r="AM26" s="577"/>
      <c r="AN26" s="577"/>
      <c r="AO26" s="577"/>
      <c r="AP26" s="577"/>
      <c r="AQ26" s="577"/>
      <c r="AR26" s="577"/>
      <c r="AS26" s="577"/>
      <c r="AT26" s="577"/>
      <c r="AU26" s="577"/>
      <c r="AV26" s="577"/>
      <c r="AW26" s="577"/>
      <c r="AX26" s="577"/>
      <c r="AY26" s="577"/>
      <c r="AZ26" s="577"/>
      <c r="BA26" s="577"/>
      <c r="BB26" s="577"/>
      <c r="BC26" s="577"/>
      <c r="BD26" s="577"/>
      <c r="BE26" s="577"/>
      <c r="BF26" s="577"/>
      <c r="BG26" s="577"/>
    </row>
    <row r="27" ht="26" customHeight="1" spans="1:59">
      <c r="A27" s="576" t="inlineStr">
        <is>
          <t xml:space="preserve">Certificado Digital</t>
        </is>
      </c>
      <c r="B27" s="577"/>
      <c r="C27" s="577"/>
      <c r="D27" s="577"/>
      <c r="E27" s="577"/>
      <c r="F27" s="577"/>
      <c r="G27" s="581"/>
      <c r="H27" s="581"/>
      <c r="I27" s="581"/>
      <c r="J27" s="581"/>
      <c r="K27" s="581"/>
      <c r="L27" s="581"/>
      <c r="M27" s="581"/>
      <c r="N27" s="581"/>
      <c r="O27" s="581"/>
      <c r="P27" s="582"/>
      <c r="Q27" s="582"/>
      <c r="R27" s="582"/>
      <c r="S27" s="582"/>
      <c r="T27" s="582"/>
      <c r="U27" s="582"/>
      <c r="V27" s="582"/>
      <c r="W27" s="582"/>
      <c r="X27" s="582"/>
      <c r="Y27" s="577"/>
      <c r="Z27" s="577"/>
      <c r="AA27" s="577"/>
      <c r="AB27" s="577"/>
      <c r="AC27" s="577"/>
      <c r="AD27" s="577"/>
      <c r="AE27" s="577"/>
      <c r="AF27" s="577"/>
      <c r="AG27" s="577"/>
      <c r="AH27" s="577"/>
      <c r="AI27" s="577"/>
      <c r="AJ27" s="577"/>
      <c r="AK27" s="577"/>
      <c r="AL27" s="577"/>
      <c r="AM27" s="577"/>
      <c r="AN27" s="577"/>
      <c r="AO27" s="577"/>
      <c r="AP27" s="577"/>
      <c r="AQ27" s="577"/>
      <c r="AR27" s="577"/>
      <c r="AS27" s="577"/>
      <c r="AT27" s="577"/>
      <c r="AU27" s="577"/>
      <c r="AV27" s="577"/>
      <c r="AW27" s="577"/>
      <c r="AX27" s="577"/>
      <c r="AY27" s="577"/>
      <c r="AZ27" s="577"/>
      <c r="BA27" s="577"/>
      <c r="BB27" s="577"/>
      <c r="BC27" s="577"/>
      <c r="BD27" s="577"/>
      <c r="BE27" s="577"/>
      <c r="BF27" s="577"/>
      <c r="BG27" s="577"/>
    </row>
    <row r="28" ht="26" customHeight="1" spans="1:59">
      <c r="A28" s="576" t="inlineStr">
        <is>
          <t xml:space="preserve">M Certificados</t>
        </is>
      </c>
      <c r="B28" s="577"/>
      <c r="C28" s="577"/>
      <c r="D28" s="577"/>
      <c r="E28" s="577"/>
      <c r="F28" s="577"/>
      <c r="G28" s="581"/>
      <c r="H28" s="581"/>
      <c r="I28" s="581"/>
      <c r="J28" s="581"/>
      <c r="K28" s="581"/>
      <c r="L28" s="581"/>
      <c r="M28" s="581"/>
      <c r="N28" s="581"/>
      <c r="O28" s="581"/>
      <c r="P28" s="581"/>
      <c r="Q28" s="581"/>
      <c r="R28" s="581"/>
      <c r="S28" s="581"/>
      <c r="T28" s="580"/>
      <c r="U28" s="580"/>
      <c r="V28" s="580"/>
      <c r="W28" s="580"/>
      <c r="X28" s="580"/>
      <c r="Y28" s="577"/>
      <c r="Z28" s="577"/>
      <c r="AA28" s="577"/>
      <c r="AB28" s="577"/>
      <c r="AC28" s="577"/>
      <c r="AD28" s="577"/>
      <c r="AE28" s="577"/>
      <c r="AF28" s="577"/>
      <c r="AG28" s="577"/>
      <c r="AH28" s="577"/>
      <c r="AI28" s="577"/>
      <c r="AJ28" s="577"/>
      <c r="AK28" s="577"/>
      <c r="AL28" s="577"/>
      <c r="AM28" s="577"/>
      <c r="AN28" s="577"/>
      <c r="AO28" s="577"/>
      <c r="AP28" s="577"/>
      <c r="AQ28" s="577"/>
      <c r="AR28" s="577"/>
      <c r="AS28" s="577"/>
      <c r="AT28" s="577"/>
      <c r="AU28" s="577"/>
      <c r="AV28" s="577"/>
      <c r="AW28" s="577"/>
      <c r="AX28" s="577"/>
      <c r="AY28" s="577"/>
      <c r="AZ28" s="577"/>
      <c r="BA28" s="577"/>
      <c r="BB28" s="577"/>
      <c r="BC28" s="577"/>
      <c r="BD28" s="577"/>
      <c r="BE28" s="577"/>
      <c r="BF28" s="577"/>
      <c r="BG28" s="577"/>
    </row>
    <row r="29" ht="26" customHeight="1" spans="1:59">
      <c r="A29" s="576" t="inlineStr">
        <is>
          <t xml:space="preserve">Open Banking</t>
        </is>
      </c>
      <c r="B29" s="577"/>
      <c r="C29" s="577"/>
      <c r="D29" s="577"/>
      <c r="E29" s="577"/>
      <c r="F29" s="577"/>
      <c r="G29" s="580"/>
      <c r="H29" s="580"/>
      <c r="I29" s="580"/>
      <c r="J29" s="580"/>
      <c r="K29" s="580"/>
      <c r="L29" s="580"/>
      <c r="M29" s="580"/>
      <c r="N29" s="580"/>
      <c r="O29" s="580"/>
      <c r="P29" s="580"/>
      <c r="Q29" s="580"/>
      <c r="R29" s="580"/>
      <c r="S29" s="580"/>
      <c r="T29" s="584"/>
      <c r="U29" s="584"/>
      <c r="V29" s="584"/>
      <c r="W29" s="584"/>
      <c r="X29" s="584"/>
      <c r="Y29" s="582"/>
      <c r="Z29" s="582"/>
      <c r="AA29" s="582"/>
      <c r="AB29" s="582"/>
      <c r="AC29" s="583"/>
      <c r="AD29" s="583"/>
      <c r="AE29" s="583"/>
      <c r="AF29" s="583"/>
      <c r="AG29" s="577"/>
      <c r="AH29" s="577"/>
      <c r="AI29" s="577"/>
      <c r="AJ29" s="577"/>
      <c r="AK29" s="577"/>
      <c r="AL29" s="577"/>
      <c r="AM29" s="577"/>
      <c r="AN29" s="577"/>
      <c r="AO29" s="577"/>
      <c r="AP29" s="577"/>
      <c r="AQ29" s="577"/>
      <c r="AR29" s="577"/>
      <c r="AS29" s="577"/>
      <c r="AT29" s="577"/>
      <c r="AU29" s="577"/>
      <c r="AV29" s="577"/>
      <c r="AW29" s="577"/>
      <c r="AX29" s="577"/>
      <c r="AY29" s="577"/>
      <c r="AZ29" s="577"/>
      <c r="BA29" s="577"/>
      <c r="BB29" s="577"/>
      <c r="BC29" s="577"/>
      <c r="BD29" s="577"/>
      <c r="BE29" s="577"/>
      <c r="BF29" s="577"/>
      <c r="BG29" s="577"/>
    </row>
    <row r="30" ht="26" customHeight="1" spans="1:59">
      <c r="A30" s="576" t="inlineStr">
        <is>
          <t xml:space="preserve">Retornos de Ficheiros</t>
        </is>
      </c>
      <c r="B30" s="577"/>
      <c r="C30" s="577"/>
      <c r="D30" s="577"/>
      <c r="E30" s="577"/>
      <c r="F30" s="577"/>
      <c r="G30" s="580"/>
      <c r="H30" s="580"/>
      <c r="I30" s="580"/>
      <c r="J30" s="580"/>
      <c r="K30" s="580"/>
      <c r="L30" s="580"/>
      <c r="M30" s="580"/>
      <c r="N30" s="580"/>
      <c r="O30" s="580"/>
      <c r="P30" s="581"/>
      <c r="Q30" s="581"/>
      <c r="R30" s="581"/>
      <c r="S30" s="581"/>
      <c r="T30" s="581"/>
      <c r="U30" s="581"/>
      <c r="V30" s="581"/>
      <c r="W30" s="581"/>
      <c r="X30" s="581"/>
      <c r="Y30" s="577"/>
      <c r="Z30" s="577"/>
      <c r="AA30" s="577"/>
      <c r="AB30" s="577"/>
      <c r="AC30" s="577"/>
      <c r="AD30" s="577"/>
      <c r="AE30" s="577"/>
      <c r="AF30" s="577"/>
      <c r="AG30" s="577"/>
      <c r="AH30" s="577"/>
      <c r="AI30" s="577"/>
      <c r="AJ30" s="577"/>
      <c r="AK30" s="577"/>
      <c r="AL30" s="577"/>
      <c r="AM30" s="577"/>
      <c r="AN30" s="577"/>
      <c r="AO30" s="577"/>
      <c r="AP30" s="577"/>
      <c r="AQ30" s="577"/>
      <c r="AR30" s="577"/>
      <c r="AS30" s="577"/>
      <c r="AT30" s="577"/>
      <c r="AU30" s="577"/>
      <c r="AV30" s="577"/>
      <c r="AW30" s="577"/>
      <c r="AX30" s="577"/>
      <c r="AY30" s="577"/>
      <c r="AZ30" s="577"/>
      <c r="BA30" s="577"/>
      <c r="BB30" s="577"/>
      <c r="BC30" s="577"/>
      <c r="BD30" s="577"/>
      <c r="BE30" s="577"/>
      <c r="BF30" s="577"/>
      <c r="BG30" s="577"/>
    </row>
    <row r="31" ht="26" customHeight="1" spans="1:59">
      <c r="A31" s="576" t="inlineStr">
        <is>
          <t xml:space="preserve">M Autenticator</t>
        </is>
      </c>
      <c r="B31" s="577"/>
      <c r="C31" s="577"/>
      <c r="D31" s="577"/>
      <c r="E31" s="577"/>
      <c r="F31" s="577"/>
      <c r="G31" s="580"/>
      <c r="H31" s="580"/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Y31" s="577"/>
      <c r="Z31" s="577"/>
      <c r="AA31" s="577"/>
      <c r="AB31" s="577"/>
      <c r="AC31" s="577"/>
      <c r="AD31" s="577"/>
      <c r="AE31" s="577"/>
      <c r="AF31" s="577"/>
      <c r="AG31" s="577"/>
      <c r="AH31" s="577"/>
      <c r="AI31" s="577"/>
      <c r="AJ31" s="577"/>
      <c r="AK31" s="577"/>
      <c r="AL31" s="577"/>
      <c r="AM31" s="577"/>
      <c r="AN31" s="577"/>
      <c r="AO31" s="577"/>
      <c r="AP31" s="577"/>
      <c r="AQ31" s="577"/>
      <c r="AR31" s="577"/>
      <c r="AS31" s="577"/>
      <c r="AT31" s="577"/>
      <c r="AU31" s="577"/>
      <c r="AV31" s="577"/>
      <c r="AW31" s="577"/>
      <c r="AX31" s="577"/>
      <c r="AY31" s="577"/>
      <c r="AZ31" s="577"/>
      <c r="BA31" s="577"/>
      <c r="BB31" s="577"/>
      <c r="BC31" s="577"/>
      <c r="BD31" s="577"/>
      <c r="BE31" s="577"/>
      <c r="BF31" s="577"/>
      <c r="BG31" s="577"/>
    </row>
    <row r="32" ht="26" customHeight="1" spans="1:59">
      <c r="A32" s="576" t="inlineStr">
        <is>
          <t xml:space="preserve">Registo e Recenseamento</t>
        </is>
      </c>
      <c r="B32" s="577"/>
      <c r="C32" s="577"/>
      <c r="D32" s="577"/>
      <c r="E32" s="577"/>
      <c r="F32" s="577"/>
      <c r="G32" s="580"/>
      <c r="H32" s="580"/>
      <c r="I32" s="580"/>
      <c r="J32" s="580"/>
      <c r="K32" s="580"/>
      <c r="L32" s="580"/>
      <c r="M32" s="580"/>
      <c r="N32" s="580"/>
      <c r="O32" s="580"/>
      <c r="P32" s="580"/>
      <c r="Q32" s="580"/>
      <c r="R32" s="580"/>
      <c r="S32" s="580"/>
      <c r="T32" s="580"/>
      <c r="U32" s="580"/>
      <c r="V32" s="580"/>
      <c r="W32" s="580"/>
      <c r="X32" s="580"/>
      <c r="Y32" s="577"/>
      <c r="Z32" s="577"/>
      <c r="AA32" s="577"/>
      <c r="AB32" s="577"/>
      <c r="AC32" s="577"/>
      <c r="AD32" s="577"/>
      <c r="AE32" s="577"/>
      <c r="AF32" s="577"/>
      <c r="AG32" s="577"/>
      <c r="AH32" s="577"/>
      <c r="AI32" s="577"/>
      <c r="AJ32" s="577"/>
      <c r="AK32" s="577"/>
      <c r="AL32" s="577"/>
      <c r="AM32" s="577"/>
      <c r="AN32" s="577"/>
      <c r="AO32" s="577"/>
      <c r="AP32" s="577"/>
      <c r="AQ32" s="577"/>
      <c r="AR32" s="577"/>
      <c r="AS32" s="577"/>
      <c r="AT32" s="577"/>
      <c r="AU32" s="577"/>
      <c r="AV32" s="577"/>
      <c r="AW32" s="577"/>
      <c r="AX32" s="577"/>
      <c r="AY32" s="577"/>
      <c r="AZ32" s="577"/>
      <c r="BA32" s="577"/>
      <c r="BB32" s="577"/>
      <c r="BC32" s="577"/>
      <c r="BD32" s="577"/>
      <c r="BE32" s="577"/>
      <c r="BF32" s="577"/>
      <c r="BG32" s="577"/>
    </row>
    <row r="33" ht="26" customHeight="1" spans="1:59">
      <c r="A33" s="576" t="inlineStr">
        <is>
          <t xml:space="preserve">Pesquisador</t>
        </is>
      </c>
      <c r="B33" s="577"/>
      <c r="C33" s="577"/>
      <c r="D33" s="577"/>
      <c r="E33" s="577"/>
      <c r="F33" s="577"/>
      <c r="G33" s="580"/>
      <c r="H33" s="580"/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0"/>
      <c r="U33" s="580"/>
      <c r="V33" s="580"/>
      <c r="W33" s="580"/>
      <c r="X33" s="580"/>
      <c r="Y33" s="577"/>
      <c r="Z33" s="577"/>
      <c r="AA33" s="577"/>
      <c r="AB33" s="577"/>
      <c r="AC33" s="577"/>
      <c r="AD33" s="577"/>
      <c r="AE33" s="577"/>
      <c r="AF33" s="577"/>
      <c r="AG33" s="577"/>
      <c r="AH33" s="577"/>
      <c r="AI33" s="577"/>
      <c r="AJ33" s="577"/>
      <c r="AK33" s="577"/>
      <c r="AL33" s="577"/>
      <c r="AM33" s="577"/>
      <c r="AN33" s="577"/>
      <c r="AO33" s="577"/>
      <c r="AP33" s="577"/>
      <c r="AQ33" s="577"/>
      <c r="AR33" s="577"/>
      <c r="AS33" s="577"/>
      <c r="AT33" s="577"/>
      <c r="AU33" s="577"/>
      <c r="AV33" s="577"/>
      <c r="AW33" s="577"/>
      <c r="AX33" s="577"/>
      <c r="AY33" s="577"/>
      <c r="AZ33" s="577"/>
      <c r="BA33" s="577"/>
      <c r="BB33" s="577"/>
      <c r="BC33" s="577"/>
      <c r="BD33" s="577"/>
      <c r="BE33" s="577"/>
      <c r="BF33" s="577"/>
      <c r="BG33" s="577"/>
    </row>
    <row r="34" ht="26" customHeight="1" spans="1:59">
      <c r="A34" s="576" t="inlineStr">
        <is>
          <t xml:space="preserve">Nova Montra /Jornadas Meios de Recebimento</t>
        </is>
      </c>
      <c r="B34" s="577"/>
      <c r="C34" s="577"/>
      <c r="D34" s="577"/>
      <c r="E34" s="577"/>
      <c r="F34" s="577"/>
      <c r="G34" s="577"/>
      <c r="H34" s="577"/>
      <c r="I34" s="577"/>
      <c r="J34" s="577"/>
      <c r="K34" s="577"/>
      <c r="L34" s="577"/>
      <c r="M34" s="577"/>
      <c r="N34" s="577"/>
      <c r="O34" s="577"/>
      <c r="P34" s="577"/>
      <c r="Q34" s="577"/>
      <c r="R34" s="577"/>
      <c r="S34" s="577"/>
      <c r="T34" s="580"/>
      <c r="U34" s="580"/>
      <c r="V34" s="580"/>
      <c r="W34" s="580"/>
      <c r="X34" s="580"/>
      <c r="Y34" s="584"/>
      <c r="Z34" s="584"/>
      <c r="AA34" s="584"/>
      <c r="AB34" s="584"/>
      <c r="AC34" s="583"/>
      <c r="AD34" s="583"/>
      <c r="AE34" s="583"/>
      <c r="AF34" s="583"/>
      <c r="AG34" s="577"/>
      <c r="AH34" s="577"/>
      <c r="AI34" s="577"/>
      <c r="AJ34" s="577"/>
      <c r="AK34" s="577"/>
      <c r="AL34" s="577"/>
      <c r="AM34" s="577"/>
      <c r="AN34" s="577"/>
      <c r="AO34" s="577"/>
      <c r="AP34" s="577"/>
      <c r="AQ34" s="577"/>
      <c r="AR34" s="577"/>
      <c r="AS34" s="577"/>
      <c r="AT34" s="577"/>
      <c r="AU34" s="577"/>
      <c r="AV34" s="577"/>
      <c r="AW34" s="577"/>
      <c r="AX34" s="577"/>
      <c r="AY34" s="577"/>
      <c r="AZ34" s="577"/>
      <c r="BA34" s="577"/>
      <c r="BB34" s="577"/>
      <c r="BC34" s="577"/>
      <c r="BD34" s="577"/>
      <c r="BE34" s="577"/>
      <c r="BF34" s="577"/>
      <c r="BG34" s="577"/>
    </row>
    <row r="35" ht="60" customHeight="1" spans="1:59">
      <c r="A35" s="579" t="inlineStr">
        <is>
          <t xml:space="preserve">Notas: • Projetos, fases e datas reproduzidos da calendarização mensal original (sheet «Calendário IT», agora oculta), com os meses expandidos em semanas. • PO, Stakeholders, Descrição do âmbito, Data passagem a produção e Comentário/PdS ficam por preencher (sem fonte na sheet original) — a completar em coordenação com Pedro/Ivânia. • A fase «Produção» na grelha indica a passagem a produção. • Semana atual destacada a vermelho.</t>
        </is>
      </c>
    </row>
  </sheetData>
  <mergeCells count="31">
    <mergeCell ref="A1:F1"/>
    <mergeCell ref="G1:BG1"/>
    <mergeCell ref="A2:F2"/>
    <mergeCell ref="H2:J2"/>
    <mergeCell ref="L2:N2"/>
    <mergeCell ref="P2:R2"/>
    <mergeCell ref="T2:V2"/>
    <mergeCell ref="X2:Z2"/>
    <mergeCell ref="AB2:AD2"/>
    <mergeCell ref="AF2:AH2"/>
    <mergeCell ref="AJ2:AL2"/>
    <mergeCell ref="AN2:AP2"/>
    <mergeCell ref="A3:A4"/>
    <mergeCell ref="B3:B4"/>
    <mergeCell ref="C3:C4"/>
    <mergeCell ref="D3:D4"/>
    <mergeCell ref="E3:E4"/>
    <mergeCell ref="F3:F4"/>
    <mergeCell ref="G3:K3"/>
    <mergeCell ref="L3:O3"/>
    <mergeCell ref="P3:S3"/>
    <mergeCell ref="T3:X3"/>
    <mergeCell ref="Y3:AB3"/>
    <mergeCell ref="AC3:AF3"/>
    <mergeCell ref="AG3:AK3"/>
    <mergeCell ref="AL3:AO3"/>
    <mergeCell ref="AP3:AS3"/>
    <mergeCell ref="AT3:AX3"/>
    <mergeCell ref="AY3:BB3"/>
    <mergeCell ref="BC3:BG3"/>
    <mergeCell ref="A35:BG35"/>
  </mergeCells>
  <pageMargins left="0.25" right="0.25" top="0.5" bottom="0.5" header="0.3" footer="0.3"/>
  <pageSetup paperSize="8" orientation="landscape" scale="4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08C547A3F99A448272DD2A68552D1F" ma:contentTypeVersion="19" ma:contentTypeDescription="Create a new document." ma:contentTypeScope="" ma:versionID="058f668a90e18b9780715bfc1a27ec80">
  <xsd:schema xmlns:xsd="http://www.w3.org/2001/XMLSchema" xmlns:xs="http://www.w3.org/2001/XMLSchema" xmlns:p="http://schemas.microsoft.com/office/2006/metadata/properties" xmlns:ns2="265bcf45-1fa7-48b4-a4d6-98f0a90ef1d3" xmlns:ns3="a4cdf3ff-7a13-4810-814d-c9ccc35de8ee" targetNamespace="http://schemas.microsoft.com/office/2006/metadata/properties" ma:root="true" ma:fieldsID="737f248ca98534887cf03586be2d5d50" ns2:_="" ns3:_="">
    <xsd:import namespace="265bcf45-1fa7-48b4-a4d6-98f0a90ef1d3"/>
    <xsd:import namespace="a4cdf3ff-7a13-4810-814d-c9ccc35de8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5bcf45-1fa7-48b4-a4d6-98f0a90ef1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32ee56d-be21-4bd7-8b74-dec6fa54b9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cdf3ff-7a13-4810-814d-c9ccc35de8e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e559316-2852-4044-8948-274d598e81f0}" ma:internalName="TaxCatchAll" ma:showField="CatchAllData" ma:web="a4cdf3ff-7a13-4810-814d-c9ccc35de8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65bcf45-1fa7-48b4-a4d6-98f0a90ef1d3">
      <Terms xmlns="http://schemas.microsoft.com/office/infopath/2007/PartnerControls"/>
    </lcf76f155ced4ddcb4097134ff3c332f>
    <TaxCatchAll xmlns="a4cdf3ff-7a13-4810-814d-c9ccc35de8ee" xsi:nil="true"/>
  </documentManagement>
</p:properties>
</file>

<file path=customXml/itemProps1.xml><?xml version="1.0" encoding="utf-8"?>
<ds:datastoreItem xmlns:ds="http://schemas.openxmlformats.org/officeDocument/2006/customXml" ds:itemID="{F965BF9B-B025-4A11-BF3F-9F414C2E278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C182C1-C5E6-4067-8C88-ED85F123B1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5bcf45-1fa7-48b4-a4d6-98f0a90ef1d3"/>
    <ds:schemaRef ds:uri="a4cdf3ff-7a13-4810-814d-c9ccc35de8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ACD65AE-CF40-4397-A19E-CD39E2C26074}">
  <ds:schemaRefs>
    <ds:schemaRef ds:uri="http://schemas.microsoft.com/office/2006/metadata/properties"/>
    <ds:schemaRef ds:uri="http://schemas.microsoft.com/office/infopath/2007/PartnerControls"/>
    <ds:schemaRef ds:uri="265bcf45-1fa7-48b4-a4d6-98f0a90ef1d3"/>
    <ds:schemaRef ds:uri="a4cdf3ff-7a13-4810-814d-c9ccc35de8ee"/>
  </ds:schemaRefs>
</ds:datastoreItem>
</file>

<file path=docMetadata/LabelInfo.xml><?xml version="1.0" encoding="utf-8"?>
<clbl:labelList xmlns:clbl="http://schemas.microsoft.com/office/2020/mipLabelMetadata">
  <clbl:label id="{acb9aa9c-e87a-4570-8eff-337bc3a8ddc2}" enabled="1" method="Privileged" siteId="{5d89951c-b62b-46bf-b261-910b5240b0e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11</vt:i4>
      </vt:variant>
    </vt:vector>
  </HeadingPairs>
  <TitlesOfParts>
    <vt:vector size="11" baseType="lpstr">
      <vt:lpstr>Registo Ultimas atualizações</vt:lpstr>
      <vt:lpstr>Calendário IT  </vt:lpstr>
      <vt:lpstr>Digital Breakfast Takeaways</vt:lpstr>
      <vt:lpstr>Calendário IT</vt:lpstr>
      <vt:lpstr>PRIORIDADES DBDE</vt:lpstr>
      <vt:lpstr>Overview Geral</vt:lpstr>
      <vt:lpstr>Em Curso</vt:lpstr>
      <vt:lpstr>Planeados</vt:lpstr>
      <vt:lpstr>Standby</vt:lpstr>
      <vt:lpstr>API integration Lab</vt:lpstr>
      <vt:lpstr>Falta Migrar para o MSE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Mousinho</dc:creator>
  <cp:keywords/>
  <dc:description/>
  <cp:lastModifiedBy>Jorge Eduardo Rodrigues</cp:lastModifiedBy>
  <cp:revision/>
  <dcterms:created xsi:type="dcterms:W3CDTF">2026-01-05T15:28:34Z</dcterms:created>
  <dcterms:modified xsi:type="dcterms:W3CDTF">2026-06-17T10:54:27Z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0x010100BF08C547A3F99A448272DD2A68552D1F</vt:lpwstr>
  </property>
  <property fmtid="{D5CDD505-2E9C-101B-9397-08002B2CF9AE}" pid="3" name="MediaServiceImageTags">
    <vt:lpwstr/>
  </property>
</Properties>
</file>